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2.xml" ContentType="application/vnd.openxmlformats-officedocument.spreadsheetml.pivot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eiknistofnun-my.sharepoint.com/personal/isabel_lbhi_is/Documents/ISABEL/CANADA/sex cafeterias/R/"/>
    </mc:Choice>
  </mc:AlternateContent>
  <xr:revisionPtr revIDLastSave="5" documentId="11_0153C0D4D7E86C173080A8DF9BF175945CB48DF8" xr6:coauthVersionLast="47" xr6:coauthVersionMax="47" xr10:uidLastSave="{FA86432C-0005-4DF5-8F05-C9CEA1C0FCEC}"/>
  <bookViews>
    <workbookView xWindow="2304" yWindow="2304" windowWidth="17280" windowHeight="8964" activeTab="4" xr2:uid="{00000000-000D-0000-FFFF-FFFF00000000}"/>
  </bookViews>
  <sheets>
    <sheet name="cafeterias" sheetId="1" r:id="rId1"/>
    <sheet name="dehydration trials" sheetId="3" r:id="rId2"/>
    <sheet name="notes" sheetId="5" r:id="rId3"/>
    <sheet name="Sheet1" sheetId="6" r:id="rId4"/>
    <sheet name="cafeterias_caterpillars" sheetId="8" r:id="rId5"/>
  </sheets>
  <definedNames>
    <definedName name="_xlnm._FilterDatabase" localSheetId="0" hidden="1">cafeterias!$A$1:$A$120</definedName>
    <definedName name="_xlnm._FilterDatabase" localSheetId="1" hidden="1">'dehydration trials'!$B$1:$M$76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8" i="8" l="1"/>
  <c r="N78" i="8" s="1"/>
  <c r="M54" i="8"/>
  <c r="N54" i="8" s="1"/>
  <c r="M14" i="8"/>
  <c r="N14" i="8" s="1"/>
  <c r="M42" i="8"/>
  <c r="N42" i="8" s="1"/>
  <c r="M86" i="8"/>
  <c r="N86" i="8" s="1"/>
  <c r="M90" i="8"/>
  <c r="N90" i="8" s="1"/>
  <c r="M18" i="8"/>
  <c r="N18" i="8" s="1"/>
  <c r="M26" i="8"/>
  <c r="N26" i="8" s="1"/>
  <c r="M46" i="8"/>
  <c r="N46" i="8" s="1"/>
  <c r="M34" i="8"/>
  <c r="N34" i="8" s="1"/>
  <c r="M58" i="8"/>
  <c r="N58" i="8" s="1"/>
  <c r="M66" i="8"/>
  <c r="N66" i="8" s="1"/>
  <c r="M94" i="8"/>
  <c r="N94" i="8" s="1"/>
  <c r="M30" i="8"/>
  <c r="N30" i="8" s="1"/>
  <c r="M22" i="8"/>
  <c r="N22" i="8" s="1"/>
  <c r="M50" i="8"/>
  <c r="N50" i="8" s="1"/>
  <c r="M38" i="8"/>
  <c r="N38" i="8" s="1"/>
  <c r="M62" i="8"/>
  <c r="N62" i="8" s="1"/>
  <c r="M70" i="8"/>
  <c r="N70" i="8" s="1"/>
  <c r="M98" i="8"/>
  <c r="N98" i="8" s="1"/>
  <c r="M102" i="8"/>
  <c r="N102" i="8" s="1"/>
  <c r="M82" i="8"/>
  <c r="N82" i="8" s="1"/>
  <c r="M106" i="8"/>
  <c r="N106" i="8" s="1"/>
  <c r="M110" i="8"/>
  <c r="N110" i="8" s="1"/>
  <c r="M6" i="8"/>
  <c r="N6" i="8" s="1"/>
  <c r="M2" i="8"/>
  <c r="N2" i="8" s="1"/>
  <c r="M10" i="8"/>
  <c r="N10" i="8" s="1"/>
  <c r="M75" i="8"/>
  <c r="N75" i="8" s="1"/>
  <c r="M79" i="8"/>
  <c r="N79" i="8" s="1"/>
  <c r="M55" i="8"/>
  <c r="N55" i="8" s="1"/>
  <c r="M15" i="8"/>
  <c r="N15" i="8" s="1"/>
  <c r="M43" i="8"/>
  <c r="N43" i="8" s="1"/>
  <c r="M87" i="8"/>
  <c r="N87" i="8" s="1"/>
  <c r="M91" i="8"/>
  <c r="N91" i="8" s="1"/>
  <c r="M19" i="8"/>
  <c r="N19" i="8" s="1"/>
  <c r="M27" i="8"/>
  <c r="N27" i="8" s="1"/>
  <c r="M47" i="8"/>
  <c r="N47" i="8" s="1"/>
  <c r="M35" i="8"/>
  <c r="N35" i="8" s="1"/>
  <c r="M59" i="8"/>
  <c r="N59" i="8" s="1"/>
  <c r="M67" i="8"/>
  <c r="N67" i="8" s="1"/>
  <c r="M95" i="8"/>
  <c r="N95" i="8" s="1"/>
  <c r="M31" i="8"/>
  <c r="N31" i="8" s="1"/>
  <c r="M23" i="8"/>
  <c r="N23" i="8" s="1"/>
  <c r="M51" i="8"/>
  <c r="N51" i="8" s="1"/>
  <c r="M39" i="8"/>
  <c r="N39" i="8" s="1"/>
  <c r="M63" i="8"/>
  <c r="N63" i="8" s="1"/>
  <c r="M71" i="8"/>
  <c r="N71" i="8" s="1"/>
  <c r="M99" i="8"/>
  <c r="N99" i="8" s="1"/>
  <c r="M103" i="8"/>
  <c r="N103" i="8" s="1"/>
  <c r="M83" i="8"/>
  <c r="N83" i="8" s="1"/>
  <c r="M107" i="8"/>
  <c r="N107" i="8" s="1"/>
  <c r="M111" i="8"/>
  <c r="N111" i="8" s="1"/>
  <c r="M7" i="8"/>
  <c r="N7" i="8" s="1"/>
  <c r="M3" i="8"/>
  <c r="N3" i="8" s="1"/>
  <c r="M11" i="8"/>
  <c r="N11" i="8" s="1"/>
  <c r="M76" i="8"/>
  <c r="N76" i="8" s="1"/>
  <c r="M80" i="8"/>
  <c r="N80" i="8" s="1"/>
  <c r="M56" i="8"/>
  <c r="N56" i="8" s="1"/>
  <c r="M16" i="8"/>
  <c r="N16" i="8" s="1"/>
  <c r="M44" i="8"/>
  <c r="N44" i="8" s="1"/>
  <c r="M88" i="8"/>
  <c r="N88" i="8" s="1"/>
  <c r="M92" i="8"/>
  <c r="N92" i="8" s="1"/>
  <c r="M20" i="8"/>
  <c r="N20" i="8" s="1"/>
  <c r="M28" i="8"/>
  <c r="N28" i="8" s="1"/>
  <c r="M48" i="8"/>
  <c r="N48" i="8" s="1"/>
  <c r="M36" i="8"/>
  <c r="N36" i="8" s="1"/>
  <c r="M60" i="8"/>
  <c r="N60" i="8" s="1"/>
  <c r="M68" i="8"/>
  <c r="N68" i="8" s="1"/>
  <c r="M96" i="8"/>
  <c r="N96" i="8" s="1"/>
  <c r="M32" i="8"/>
  <c r="N32" i="8" s="1"/>
  <c r="M24" i="8"/>
  <c r="N24" i="8" s="1"/>
  <c r="M52" i="8"/>
  <c r="N52" i="8" s="1"/>
  <c r="M40" i="8"/>
  <c r="N40" i="8" s="1"/>
  <c r="M64" i="8"/>
  <c r="N64" i="8" s="1"/>
  <c r="M72" i="8"/>
  <c r="N72" i="8" s="1"/>
  <c r="M100" i="8"/>
  <c r="N100" i="8" s="1"/>
  <c r="M104" i="8"/>
  <c r="N104" i="8" s="1"/>
  <c r="M84" i="8"/>
  <c r="N84" i="8" s="1"/>
  <c r="M108" i="8"/>
  <c r="N108" i="8" s="1"/>
  <c r="M112" i="8"/>
  <c r="N112" i="8" s="1"/>
  <c r="M8" i="8"/>
  <c r="N8" i="8" s="1"/>
  <c r="M4" i="8"/>
  <c r="N4" i="8" s="1"/>
  <c r="M12" i="8"/>
  <c r="N12" i="8" s="1"/>
  <c r="M77" i="8"/>
  <c r="N77" i="8" s="1"/>
  <c r="M81" i="8"/>
  <c r="N81" i="8" s="1"/>
  <c r="M57" i="8"/>
  <c r="N57" i="8" s="1"/>
  <c r="M17" i="8"/>
  <c r="N17" i="8" s="1"/>
  <c r="M45" i="8"/>
  <c r="N45" i="8" s="1"/>
  <c r="M89" i="8"/>
  <c r="N89" i="8" s="1"/>
  <c r="M93" i="8"/>
  <c r="N93" i="8" s="1"/>
  <c r="M21" i="8"/>
  <c r="N21" i="8" s="1"/>
  <c r="M29" i="8"/>
  <c r="N29" i="8" s="1"/>
  <c r="M49" i="8"/>
  <c r="N49" i="8" s="1"/>
  <c r="M37" i="8"/>
  <c r="N37" i="8" s="1"/>
  <c r="M61" i="8"/>
  <c r="N61" i="8" s="1"/>
  <c r="M69" i="8"/>
  <c r="N69" i="8" s="1"/>
  <c r="M97" i="8"/>
  <c r="N97" i="8" s="1"/>
  <c r="M33" i="8"/>
  <c r="N33" i="8" s="1"/>
  <c r="M25" i="8"/>
  <c r="N25" i="8" s="1"/>
  <c r="M53" i="8"/>
  <c r="N53" i="8" s="1"/>
  <c r="M41" i="8"/>
  <c r="N41" i="8" s="1"/>
  <c r="M65" i="8"/>
  <c r="N65" i="8" s="1"/>
  <c r="M73" i="8"/>
  <c r="N73" i="8" s="1"/>
  <c r="M101" i="8"/>
  <c r="N101" i="8" s="1"/>
  <c r="M105" i="8"/>
  <c r="N105" i="8" s="1"/>
  <c r="M85" i="8"/>
  <c r="N85" i="8" s="1"/>
  <c r="M109" i="8"/>
  <c r="N109" i="8" s="1"/>
  <c r="M113" i="8"/>
  <c r="N113" i="8" s="1"/>
  <c r="M9" i="8"/>
  <c r="N9" i="8" s="1"/>
  <c r="M5" i="8"/>
  <c r="N5" i="8" s="1"/>
  <c r="M13" i="8"/>
  <c r="N13" i="8" s="1"/>
  <c r="M74" i="8"/>
  <c r="N74" i="8" s="1"/>
  <c r="O15" i="3" l="1"/>
  <c r="O14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5" i="3"/>
  <c r="O24" i="3"/>
  <c r="O23" i="3"/>
  <c r="O20" i="3"/>
  <c r="O19" i="3"/>
  <c r="O12" i="3"/>
  <c r="O11" i="3"/>
  <c r="AN57" i="1" l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40" i="1" l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33" i="1" l="1"/>
  <c r="AN9" i="1" l="1"/>
  <c r="AN5" i="1"/>
  <c r="AN6" i="1"/>
  <c r="AN7" i="1"/>
  <c r="AN8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4" i="1"/>
  <c r="AN39" i="1" l="1"/>
  <c r="AN38" i="1"/>
  <c r="AN34" i="1"/>
  <c r="AN35" i="1"/>
  <c r="AN36" i="1"/>
  <c r="AN3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Pika</author>
    <author>Helen</author>
    <author>guille</author>
  </authors>
  <commentList>
    <comment ref="AM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Pika:</t>
        </r>
        <r>
          <rPr>
            <sz val="9"/>
            <color indexed="81"/>
            <rFont val="Tahoma"/>
            <family val="2"/>
          </rPr>
          <t xml:space="preserve">
frass production grams per day (in cafeterias for 24h)</t>
        </r>
      </text>
    </comment>
    <comment ref="A5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Helen:</t>
        </r>
        <r>
          <rPr>
            <sz val="9"/>
            <color indexed="81"/>
            <rFont val="Tahoma"/>
            <family val="2"/>
          </rPr>
          <t xml:space="preserve">
it eats first the males and then the females</t>
        </r>
      </text>
    </comment>
    <comment ref="J29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Pika:</t>
        </r>
        <r>
          <rPr>
            <sz val="9"/>
            <color indexed="81"/>
            <rFont val="Tahoma"/>
            <family val="2"/>
          </rPr>
          <t xml:space="preserve">
slightly damaged</t>
        </r>
      </text>
    </comment>
    <comment ref="R65" authorId="2" shapeId="0" xr:uid="{00000000-0006-0000-0000-000004000000}">
      <text>
        <r>
          <rPr>
            <b/>
            <sz val="9"/>
            <color indexed="81"/>
            <rFont val="Tahoma"/>
            <family val="2"/>
          </rPr>
          <t>guille:</t>
        </r>
        <r>
          <rPr>
            <sz val="9"/>
            <color indexed="81"/>
            <rFont val="Tahoma"/>
            <family val="2"/>
          </rPr>
          <t xml:space="preserve">
ONE FLOWER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Helen</author>
  </authors>
  <commentList>
    <comment ref="A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Helen:</t>
        </r>
        <r>
          <rPr>
            <sz val="9"/>
            <color indexed="81"/>
            <rFont val="Tahoma"/>
            <family val="2"/>
          </rPr>
          <t xml:space="preserve">
it eats first the males and then the females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Pika</author>
    <author>Helen</author>
  </authors>
  <commentList>
    <comment ref="M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Pika:</t>
        </r>
        <r>
          <rPr>
            <sz val="9"/>
            <color indexed="81"/>
            <rFont val="Tahoma"/>
            <family val="2"/>
          </rPr>
          <t xml:space="preserve">
correction factor for dehydration, estimated mass lost (gained) to dehydration</t>
        </r>
      </text>
    </comment>
    <comment ref="N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Pika:</t>
        </r>
        <r>
          <rPr>
            <sz val="9"/>
            <color indexed="81"/>
            <rFont val="Tahoma"/>
            <family val="2"/>
          </rPr>
          <t xml:space="preserve">
estimated herbivory based on weight before and after, and dehydration rates of each species</t>
        </r>
      </text>
    </comment>
    <comment ref="H22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Pika:</t>
        </r>
        <r>
          <rPr>
            <sz val="9"/>
            <color indexed="81"/>
            <rFont val="Tahoma"/>
            <family val="2"/>
          </rPr>
          <t xml:space="preserve">
slightly damaged</t>
        </r>
      </text>
    </comment>
    <comment ref="A74" authorId="1" shapeId="0" xr:uid="{00000000-0006-0000-0400-000003000000}">
      <text>
        <r>
          <rPr>
            <b/>
            <sz val="9"/>
            <color indexed="81"/>
            <rFont val="Tahoma"/>
            <family val="2"/>
          </rPr>
          <t>Helen:</t>
        </r>
        <r>
          <rPr>
            <sz val="9"/>
            <color indexed="81"/>
            <rFont val="Tahoma"/>
            <family val="2"/>
          </rPr>
          <t xml:space="preserve">
it eats first the males and then the females</t>
        </r>
      </text>
    </comment>
    <comment ref="A75" authorId="1" shapeId="0" xr:uid="{00000000-0006-0000-0400-000005000000}">
      <text>
        <r>
          <rPr>
            <b/>
            <sz val="9"/>
            <color indexed="81"/>
            <rFont val="Tahoma"/>
            <family val="2"/>
          </rPr>
          <t>Helen:</t>
        </r>
        <r>
          <rPr>
            <sz val="9"/>
            <color indexed="81"/>
            <rFont val="Tahoma"/>
            <family val="2"/>
          </rPr>
          <t xml:space="preserve">
it eats first the males and then the females</t>
        </r>
      </text>
    </comment>
    <comment ref="A76" authorId="1" shapeId="0" xr:uid="{00000000-0006-0000-0400-000006000000}">
      <text>
        <r>
          <rPr>
            <b/>
            <sz val="9"/>
            <color indexed="81"/>
            <rFont val="Tahoma"/>
            <family val="2"/>
          </rPr>
          <t>Helen:</t>
        </r>
        <r>
          <rPr>
            <sz val="9"/>
            <color indexed="81"/>
            <rFont val="Tahoma"/>
            <family val="2"/>
          </rPr>
          <t xml:space="preserve">
it eats first the males and then the females</t>
        </r>
      </text>
    </comment>
    <comment ref="A77" authorId="1" shapeId="0" xr:uid="{00000000-0006-0000-0400-000007000000}">
      <text>
        <r>
          <rPr>
            <b/>
            <sz val="9"/>
            <color indexed="81"/>
            <rFont val="Tahoma"/>
            <family val="2"/>
          </rPr>
          <t>Helen:</t>
        </r>
        <r>
          <rPr>
            <sz val="9"/>
            <color indexed="81"/>
            <rFont val="Tahoma"/>
            <family val="2"/>
          </rPr>
          <t xml:space="preserve">
it eats first the males and then the females</t>
        </r>
      </text>
    </comment>
  </commentList>
</comments>
</file>

<file path=xl/sharedStrings.xml><?xml version="1.0" encoding="utf-8"?>
<sst xmlns="http://schemas.openxmlformats.org/spreadsheetml/2006/main" count="1865" uniqueCount="111">
  <si>
    <t>CATERPILLAR</t>
  </si>
  <si>
    <t>Salix arctica</t>
  </si>
  <si>
    <t>Individual</t>
  </si>
  <si>
    <t>date</t>
  </si>
  <si>
    <t>initial weight</t>
  </si>
  <si>
    <t>final weight</t>
  </si>
  <si>
    <t>position</t>
  </si>
  <si>
    <t>initial leaves</t>
  </si>
  <si>
    <t>final leaves</t>
  </si>
  <si>
    <t>herbivory</t>
  </si>
  <si>
    <t>FRASS</t>
  </si>
  <si>
    <t>age</t>
  </si>
  <si>
    <t>Estimation of dehydration rates for plants in cafeterias</t>
  </si>
  <si>
    <t>Plants in similar conditions to cafeterias without herbivory</t>
  </si>
  <si>
    <t>Nr leaves</t>
  </si>
  <si>
    <t>old</t>
  </si>
  <si>
    <t>OK?</t>
  </si>
  <si>
    <t>species</t>
  </si>
  <si>
    <t>gender</t>
  </si>
  <si>
    <t>Herbivory scale</t>
  </si>
  <si>
    <t>Position</t>
  </si>
  <si>
    <t>value</t>
  </si>
  <si>
    <t>description</t>
  </si>
  <si>
    <t>percentage</t>
  </si>
  <si>
    <t>not eaten</t>
  </si>
  <si>
    <t>upper left corner</t>
  </si>
  <si>
    <t>very little</t>
  </si>
  <si>
    <t>up to 30%</t>
  </si>
  <si>
    <t>upper right corner</t>
  </si>
  <si>
    <t>half eaten</t>
  </si>
  <si>
    <t>30-60%</t>
  </si>
  <si>
    <t>lower left corner</t>
  </si>
  <si>
    <t>very eaten</t>
  </si>
  <si>
    <t>60-80%</t>
  </si>
  <si>
    <t>lower right corner</t>
  </si>
  <si>
    <t>totally eaten</t>
  </si>
  <si>
    <t>80-100%</t>
  </si>
  <si>
    <t>groenlandica 52</t>
  </si>
  <si>
    <t>groenlandica 53</t>
  </si>
  <si>
    <t>groenlandica 54</t>
  </si>
  <si>
    <t>groenlandica 55</t>
  </si>
  <si>
    <t>female</t>
  </si>
  <si>
    <t>code</t>
  </si>
  <si>
    <t>4F</t>
  </si>
  <si>
    <t>male</t>
  </si>
  <si>
    <t>4M</t>
  </si>
  <si>
    <t>1F</t>
  </si>
  <si>
    <t>1M</t>
  </si>
  <si>
    <t>2M</t>
  </si>
  <si>
    <t>2F</t>
  </si>
  <si>
    <t>3F</t>
  </si>
  <si>
    <t>3M</t>
  </si>
  <si>
    <t>moulted 2 days ago</t>
  </si>
  <si>
    <t>groenlandica 59</t>
  </si>
  <si>
    <t>groenlandica 31</t>
  </si>
  <si>
    <t>young</t>
  </si>
  <si>
    <t>groenlandica 34</t>
  </si>
  <si>
    <t>groenlandica 43</t>
  </si>
  <si>
    <t>groenlandica 37</t>
  </si>
  <si>
    <t>groenlandica 40</t>
  </si>
  <si>
    <t>groenlandica 48</t>
  </si>
  <si>
    <t>Salix reticulata</t>
  </si>
  <si>
    <t>groenlandica 7</t>
  </si>
  <si>
    <t>pos</t>
  </si>
  <si>
    <t>groenlandica 57</t>
  </si>
  <si>
    <t>groenlandica 58</t>
  </si>
  <si>
    <t>groenlandica 60</t>
  </si>
  <si>
    <t>groenlandica 61</t>
  </si>
  <si>
    <t>groenlandica 38</t>
  </si>
  <si>
    <t>hibernacula</t>
  </si>
  <si>
    <t>.1.925</t>
  </si>
  <si>
    <t>groenlandica 39</t>
  </si>
  <si>
    <t>groenlandica 46</t>
  </si>
  <si>
    <t>groenlandica 62</t>
  </si>
  <si>
    <t>5F</t>
  </si>
  <si>
    <t>8M</t>
  </si>
  <si>
    <t>7M</t>
  </si>
  <si>
    <t>7F</t>
  </si>
  <si>
    <t>5M</t>
  </si>
  <si>
    <t>6F</t>
  </si>
  <si>
    <t>8F</t>
  </si>
  <si>
    <t>6M</t>
  </si>
  <si>
    <t>Row Labels</t>
  </si>
  <si>
    <t>(blank)</t>
  </si>
  <si>
    <t>Grand Total</t>
  </si>
  <si>
    <t>groenlandica 56</t>
  </si>
  <si>
    <t>groenlandica 45</t>
  </si>
  <si>
    <t>groenlandica 63</t>
  </si>
  <si>
    <t>groenlandica 64</t>
  </si>
  <si>
    <t>silking...</t>
  </si>
  <si>
    <t>1..444</t>
  </si>
  <si>
    <t>groenlandica 69</t>
  </si>
  <si>
    <t>femal</t>
  </si>
  <si>
    <t>just moulted</t>
  </si>
  <si>
    <t>ONE FLOWER</t>
  </si>
  <si>
    <t>groenlandica 25</t>
  </si>
  <si>
    <t>groenlandica 51</t>
  </si>
  <si>
    <t>..474</t>
  </si>
  <si>
    <t>groenlandica 70</t>
  </si>
  <si>
    <t>change</t>
  </si>
  <si>
    <t>Count of change</t>
  </si>
  <si>
    <t>Average of change</t>
  </si>
  <si>
    <t>StdDev of change</t>
  </si>
  <si>
    <t>overall</t>
  </si>
  <si>
    <t>caterpillar</t>
  </si>
  <si>
    <t>iweight</t>
  </si>
  <si>
    <t>ileaves</t>
  </si>
  <si>
    <t>fleaves</t>
  </si>
  <si>
    <t>fweight</t>
  </si>
  <si>
    <t>c</t>
  </si>
  <si>
    <t>eaten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</si>
</sst>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4" fillId="0" borderId="0" xfId="0" applyFont="1"/>
    <xf numFmtId="0" fontId="4" fillId="0" borderId="1" xfId="0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5" fontId="0" fillId="0" borderId="0" xfId="0" applyNumberFormat="1"/>
    <xf numFmtId="0" fontId="8" fillId="5" borderId="0" xfId="0" applyFont="1" applyFill="1"/>
    <xf numFmtId="0" fontId="3" fillId="5" borderId="0" xfId="0" applyFont="1" applyFill="1"/>
    <xf numFmtId="164" fontId="0" fillId="4" borderId="0" xfId="0" applyNumberForma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0" xfId="0" applyFont="1"/>
    <xf numFmtId="0" fontId="8" fillId="2" borderId="0" xfId="0" applyFont="1" applyFill="1"/>
    <xf numFmtId="0" fontId="8" fillId="6" borderId="0" xfId="0" applyFont="1" applyFill="1"/>
    <xf numFmtId="0" fontId="3" fillId="6" borderId="0" xfId="0" applyFont="1" applyFill="1"/>
    <xf numFmtId="0" fontId="2" fillId="7" borderId="0" xfId="0" applyFont="1" applyFill="1"/>
    <xf numFmtId="0" fontId="2" fillId="5" borderId="0" xfId="0" applyFont="1" applyFill="1"/>
    <xf numFmtId="0" fontId="0" fillId="3" borderId="0" xfId="0" applyFill="1" applyAlignment="1">
      <alignment horizontal="center"/>
    </xf>
    <xf numFmtId="0" fontId="0" fillId="3" borderId="0" xfId="0" applyFill="1"/>
    <xf numFmtId="9" fontId="0" fillId="3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/>
    <xf numFmtId="0" fontId="4" fillId="0" borderId="0" xfId="0" applyFont="1" applyAlignment="1">
      <alignment horizontal="center"/>
    </xf>
    <xf numFmtId="164" fontId="3" fillId="5" borderId="0" xfId="0" applyNumberFormat="1" applyFont="1" applyFill="1"/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1" fillId="2" borderId="0" xfId="0" applyNumberFormat="1" applyFont="1" applyFill="1" applyAlignment="1">
      <alignment horizontal="left"/>
    </xf>
    <xf numFmtId="164" fontId="1" fillId="2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 wrapText="1"/>
    </xf>
    <xf numFmtId="0" fontId="9" fillId="0" borderId="0" xfId="0" applyFont="1"/>
    <xf numFmtId="15" fontId="9" fillId="0" borderId="0" xfId="0" applyNumberFormat="1" applyFont="1"/>
    <xf numFmtId="164" fontId="9" fillId="4" borderId="0" xfId="0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2" xfId="0" applyFont="1" applyBorder="1" applyAlignment="1">
      <alignment horizontal="left"/>
    </xf>
    <xf numFmtId="0" fontId="10" fillId="0" borderId="0" xfId="0" applyFont="1"/>
    <xf numFmtId="15" fontId="10" fillId="0" borderId="0" xfId="0" applyNumberFormat="1" applyFont="1"/>
    <xf numFmtId="164" fontId="10" fillId="4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center"/>
    </xf>
    <xf numFmtId="164" fontId="10" fillId="4" borderId="0" xfId="0" quotePrefix="1" applyNumberFormat="1" applyFont="1" applyFill="1" applyAlignment="1">
      <alignment horizontal="center"/>
    </xf>
    <xf numFmtId="0" fontId="0" fillId="0" borderId="0" xfId="0" pivotButton="1"/>
    <xf numFmtId="0" fontId="11" fillId="0" borderId="2" xfId="0" applyFont="1" applyBorder="1" applyAlignment="1">
      <alignment horizontal="left"/>
    </xf>
    <xf numFmtId="0" fontId="2" fillId="8" borderId="3" xfId="0" applyFont="1" applyFill="1" applyBorder="1" applyAlignment="1">
      <alignment horizontal="left"/>
    </xf>
    <xf numFmtId="0" fontId="0" fillId="8" borderId="4" xfId="0" applyFill="1" applyBorder="1" applyAlignment="1">
      <alignment horizontal="left" indent="1"/>
    </xf>
    <xf numFmtId="0" fontId="0" fillId="8" borderId="5" xfId="0" applyFill="1" applyBorder="1" applyAlignment="1">
      <alignment horizontal="left" indent="1"/>
    </xf>
    <xf numFmtId="0" fontId="9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2" fillId="0" borderId="0" xfId="0" applyFont="1"/>
    <xf numFmtId="0" fontId="12" fillId="0" borderId="2" xfId="0" applyFont="1" applyBorder="1" applyAlignment="1">
      <alignment horizontal="left"/>
    </xf>
    <xf numFmtId="0" fontId="13" fillId="0" borderId="0" xfId="0" applyFont="1"/>
    <xf numFmtId="164" fontId="2" fillId="0" borderId="0" xfId="0" applyNumberFormat="1" applyFont="1" applyAlignment="1">
      <alignment horizontal="center"/>
    </xf>
    <xf numFmtId="0" fontId="2" fillId="9" borderId="6" xfId="0" applyFont="1" applyFill="1" applyBorder="1"/>
    <xf numFmtId="0" fontId="2" fillId="0" borderId="0" xfId="0" applyFont="1" applyAlignment="1">
      <alignment horizontal="left"/>
    </xf>
    <xf numFmtId="0" fontId="0" fillId="10" borderId="7" xfId="0" applyFill="1" applyBorder="1" applyAlignment="1">
      <alignment horizontal="left"/>
    </xf>
    <xf numFmtId="0" fontId="2" fillId="11" borderId="8" xfId="0" applyFont="1" applyFill="1" applyBorder="1"/>
    <xf numFmtId="0" fontId="0" fillId="10" borderId="9" xfId="0" applyFill="1" applyBorder="1" applyAlignment="1">
      <alignment horizontal="left"/>
    </xf>
    <xf numFmtId="0" fontId="2" fillId="11" borderId="1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Overall dehydration rates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errBars>
            <c:errBarType val="both"/>
            <c:errValType val="cust"/>
            <c:noEndCap val="0"/>
            <c:plus>
              <c:numRef>
                <c:f>'dehydration trials'!$O$11:$O$12</c:f>
                <c:numCache>
                  <c:formatCode>General</c:formatCode>
                  <c:ptCount val="2"/>
                  <c:pt idx="0">
                    <c:v>1.7523513171202439E-2</c:v>
                  </c:pt>
                  <c:pt idx="1">
                    <c:v>1.834545326055179E-2</c:v>
                  </c:pt>
                </c:numCache>
              </c:numRef>
            </c:plus>
            <c:minus>
              <c:numRef>
                <c:f>'dehydration trials'!$O$11:$O$12</c:f>
                <c:numCache>
                  <c:formatCode>General</c:formatCode>
                  <c:ptCount val="2"/>
                  <c:pt idx="0">
                    <c:v>1.7523513171202439E-2</c:v>
                  </c:pt>
                  <c:pt idx="1">
                    <c:v>1.834545326055179E-2</c:v>
                  </c:pt>
                </c:numCache>
              </c:numRef>
            </c:minus>
          </c:errBars>
          <c:cat>
            <c:strRef>
              <c:f>'dehydration trials'!$K$11:$K$12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'dehydration trials'!$L$11:$L$12</c:f>
              <c:numCache>
                <c:formatCode>General</c:formatCode>
                <c:ptCount val="2"/>
                <c:pt idx="0">
                  <c:v>3.9488508795193202E-2</c:v>
                </c:pt>
                <c:pt idx="1">
                  <c:v>2.9907367486534601E-2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CE-4DA5-8CF3-F24AE6953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7497048"/>
        <c:axId val="337495872"/>
      </c:barChart>
      <c:catAx>
        <c:axId val="3374970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37495872"/>
        <c:crosses val="autoZero"/>
        <c:auto val="1"/>
        <c:lblAlgn val="ctr"/>
        <c:lblOffset val="100"/>
        <c:noMultiLvlLbl val="0"/>
      </c:catAx>
      <c:valAx>
        <c:axId val="337495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74970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Salix arctica</c:v>
          </c:tx>
          <c:invertIfNegative val="0"/>
          <c:errBars>
            <c:errBarType val="both"/>
            <c:errValType val="cust"/>
            <c:noEndCap val="0"/>
            <c:plus>
              <c:numRef>
                <c:f>'dehydration trials'!$O$19:$O$20</c:f>
                <c:numCache>
                  <c:formatCode>General</c:formatCode>
                  <c:ptCount val="2"/>
                  <c:pt idx="0">
                    <c:v>1.7387167414028265E-2</c:v>
                  </c:pt>
                  <c:pt idx="1">
                    <c:v>2.0872533830771839E-2</c:v>
                  </c:pt>
                </c:numCache>
              </c:numRef>
            </c:plus>
            <c:minus>
              <c:numRef>
                <c:f>'dehydration trials'!$O$19:$O$20</c:f>
                <c:numCache>
                  <c:formatCode>General</c:formatCode>
                  <c:ptCount val="2"/>
                  <c:pt idx="0">
                    <c:v>1.7387167414028265E-2</c:v>
                  </c:pt>
                  <c:pt idx="1">
                    <c:v>2.0872533830771839E-2</c:v>
                  </c:pt>
                </c:numCache>
              </c:numRef>
            </c:minus>
          </c:errBars>
          <c:cat>
            <c:strRef>
              <c:f>'dehydration trials'!$K$23:$K$24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'dehydration trials'!$L$19:$L$20</c:f>
              <c:numCache>
                <c:formatCode>General</c:formatCode>
                <c:ptCount val="2"/>
                <c:pt idx="0">
                  <c:v>8.1007861287977329E-4</c:v>
                </c:pt>
                <c:pt idx="1">
                  <c:v>-1.1660165884774714E-2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C2-49E8-AABA-4AC9CFD19293}"/>
            </c:ext>
          </c:extLst>
        </c:ser>
        <c:ser>
          <c:idx val="1"/>
          <c:order val="1"/>
          <c:tx>
            <c:v>Salix reticulata</c:v>
          </c:tx>
          <c:invertIfNegative val="0"/>
          <c:errBars>
            <c:errBarType val="both"/>
            <c:errValType val="cust"/>
            <c:noEndCap val="0"/>
            <c:plus>
              <c:numRef>
                <c:f>'dehydration trials'!$O$23:$O$24</c:f>
                <c:numCache>
                  <c:formatCode>General</c:formatCode>
                  <c:ptCount val="2"/>
                  <c:pt idx="0">
                    <c:v>2.8254528799522019E-2</c:v>
                  </c:pt>
                  <c:pt idx="1">
                    <c:v>3.2041481762320835E-2</c:v>
                  </c:pt>
                </c:numCache>
              </c:numRef>
            </c:plus>
            <c:minus>
              <c:numRef>
                <c:f>'dehydration trials'!$O$23:$O$24</c:f>
                <c:numCache>
                  <c:formatCode>General</c:formatCode>
                  <c:ptCount val="2"/>
                  <c:pt idx="0">
                    <c:v>2.8254528799522019E-2</c:v>
                  </c:pt>
                  <c:pt idx="1">
                    <c:v>3.2041481762320835E-2</c:v>
                  </c:pt>
                </c:numCache>
              </c:numRef>
            </c:minus>
          </c:errBars>
          <c:cat>
            <c:strRef>
              <c:f>'dehydration trials'!$K$23:$K$24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'dehydration trials'!$L$23:$L$24</c:f>
              <c:numCache>
                <c:formatCode>General</c:formatCode>
                <c:ptCount val="2"/>
                <c:pt idx="0">
                  <c:v>-9.1300978319858464E-2</c:v>
                </c:pt>
                <c:pt idx="1">
                  <c:v>-5.336805526022588E-2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C2-49E8-AABA-4AC9CFD19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7497440"/>
        <c:axId val="337497832"/>
      </c:barChart>
      <c:catAx>
        <c:axId val="3374974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37497832"/>
        <c:crosses val="autoZero"/>
        <c:auto val="1"/>
        <c:lblAlgn val="ctr"/>
        <c:lblOffset val="100"/>
        <c:noMultiLvlLbl val="0"/>
      </c:catAx>
      <c:valAx>
        <c:axId val="337497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7497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0176443569553808"/>
          <c:y val="0.73572725284339457"/>
          <c:w val="0.21212445319335083"/>
          <c:h val="0.16743438320209975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Overall dehydration rates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'dehydration trials'!$L$14:$L$15</c:f>
              <c:strCache>
                <c:ptCount val="2"/>
                <c:pt idx="0">
                  <c:v>-0.005425044</c:v>
                </c:pt>
                <c:pt idx="1">
                  <c:v>-0.072334517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'dehydration trials'!$O$14:$O$15</c:f>
                <c:numCache>
                  <c:formatCode>General</c:formatCode>
                  <c:ptCount val="2"/>
                  <c:pt idx="0">
                    <c:v>1.3428833533705631E-2</c:v>
                  </c:pt>
                  <c:pt idx="1">
                    <c:v>2.1276020100725664E-2</c:v>
                  </c:pt>
                </c:numCache>
              </c:numRef>
            </c:plus>
            <c:minus>
              <c:numRef>
                <c:f>'dehydration trials'!$O$14:$O$15</c:f>
                <c:numCache>
                  <c:formatCode>General</c:formatCode>
                  <c:ptCount val="2"/>
                  <c:pt idx="0">
                    <c:v>1.3428833533705631E-2</c:v>
                  </c:pt>
                  <c:pt idx="1">
                    <c:v>2.1276020100725664E-2</c:v>
                  </c:pt>
                </c:numCache>
              </c:numRef>
            </c:minus>
          </c:errBars>
          <c:cat>
            <c:strRef>
              <c:f>'dehydration trials'!$K$14:$K$15</c:f>
              <c:strCache>
                <c:ptCount val="2"/>
                <c:pt idx="0">
                  <c:v>Salix arctica</c:v>
                </c:pt>
                <c:pt idx="1">
                  <c:v>Salix reticulata</c:v>
                </c:pt>
              </c:strCache>
            </c:strRef>
          </c:cat>
          <c:val>
            <c:numRef>
              <c:f>'dehydration trials'!$L$14:$L$15</c:f>
              <c:numCache>
                <c:formatCode>General</c:formatCode>
                <c:ptCount val="2"/>
                <c:pt idx="0">
                  <c:v>-5.4250436359474692E-3</c:v>
                </c:pt>
                <c:pt idx="1">
                  <c:v>-7.2334516790042172E-2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A9-4DBA-B217-ADA69DFEF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7498616"/>
        <c:axId val="337495088"/>
      </c:barChart>
      <c:catAx>
        <c:axId val="3374986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37495088"/>
        <c:crosses val="autoZero"/>
        <c:auto val="1"/>
        <c:lblAlgn val="ctr"/>
        <c:lblOffset val="100"/>
        <c:noMultiLvlLbl val="0"/>
      </c:catAx>
      <c:valAx>
        <c:axId val="337495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74986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19843</xdr:colOff>
      <xdr:row>25</xdr:row>
      <xdr:rowOff>9526</xdr:rowOff>
    </xdr:from>
    <xdr:to>
      <xdr:col>12</xdr:col>
      <xdr:colOff>452438</xdr:colOff>
      <xdr:row>36</xdr:row>
      <xdr:rowOff>55562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35718</xdr:colOff>
      <xdr:row>36</xdr:row>
      <xdr:rowOff>168275</xdr:rowOff>
    </xdr:from>
    <xdr:to>
      <xdr:col>14</xdr:col>
      <xdr:colOff>265906</xdr:colOff>
      <xdr:row>51</xdr:row>
      <xdr:rowOff>173038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444499</xdr:colOff>
      <xdr:row>2</xdr:row>
      <xdr:rowOff>174623</xdr:rowOff>
    </xdr:from>
    <xdr:to>
      <xdr:col>21</xdr:col>
      <xdr:colOff>349250</xdr:colOff>
      <xdr:row>17</xdr:row>
      <xdr:rowOff>15875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ille" refreshedDate="41471.47339861111" createdVersion="4" refreshedVersion="4" minRefreshableVersion="3" recordCount="32" xr:uid="{00000000-000A-0000-FFFF-FFFF04000000}">
  <cacheSource type="worksheet">
    <worksheetSource ref="A1:F1048576" sheet="Sheet1"/>
  </cacheSource>
  <cacheFields count="6">
    <cacheField name="Individual" numFmtId="0">
      <sharedItems containsBlank="1" count="17">
        <s v="groenlandica 53"/>
        <s v="groenlandica 54"/>
        <s v="groenlandica 43"/>
        <s v="groenlandica 37"/>
        <s v="groenlandica 40"/>
        <s v="groenlandica 57"/>
        <s v="groenlandica 58"/>
        <s v="groenlandica 38"/>
        <s v="groenlandica 39"/>
        <s v="groenlandica 45"/>
        <s v="groenlandica 46"/>
        <s v="groenlandica 62"/>
        <s v="groenlandica 63"/>
        <s v="groenlandica 64"/>
        <s v="groenlandica 34"/>
        <m/>
        <s v="groenlandica 41" u="1"/>
      </sharedItems>
    </cacheField>
    <cacheField name="age" numFmtId="0">
      <sharedItems containsBlank="1"/>
    </cacheField>
    <cacheField name="date" numFmtId="0">
      <sharedItems containsNonDate="0" containsDate="1" containsString="0" containsBlank="1" minDate="2013-07-01T00:00:00" maxDate="2013-07-16T00:00:00"/>
    </cacheField>
    <cacheField name="initial weight" numFmtId="0">
      <sharedItems containsString="0" containsBlank="1" containsNumber="1" minValue="0.21299999999999999" maxValue="1.8680000000000001"/>
    </cacheField>
    <cacheField name="final weight" numFmtId="0">
      <sharedItems containsString="0" containsBlank="1" containsNumber="1" minValue="0.215" maxValue="1.9059999999999999"/>
    </cacheField>
    <cacheField name="species" numFmtId="0">
      <sharedItems containsBlank="1" count="3">
        <s v="Salix arctica"/>
        <s v="Salix reticulat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ka" refreshedDate="41473.642707754632" createdVersion="4" refreshedVersion="4" minRefreshableVersion="3" recordCount="73" xr:uid="{00000000-000A-0000-FFFF-FFFF05000000}">
  <cacheSource type="worksheet">
    <worksheetSource ref="A4:I87" sheet="dehydration trials"/>
  </cacheSource>
  <cacheFields count="9">
    <cacheField name="species" numFmtId="0">
      <sharedItems containsBlank="1" count="3">
        <s v="Salix arctica"/>
        <s v="Salix reticulata"/>
        <m/>
      </sharedItems>
    </cacheField>
    <cacheField name="gender" numFmtId="0">
      <sharedItems containsBlank="1" count="3">
        <s v="female"/>
        <s v="male"/>
        <m/>
      </sharedItems>
    </cacheField>
    <cacheField name="code" numFmtId="0">
      <sharedItems containsBlank="1"/>
    </cacheField>
    <cacheField name="pos" numFmtId="0">
      <sharedItems containsString="0" containsBlank="1" containsNumber="1" containsInteger="1" minValue="1" maxValue="4"/>
    </cacheField>
    <cacheField name="Nr leaves" numFmtId="0">
      <sharedItems containsString="0" containsBlank="1" containsNumber="1" containsInteger="1" minValue="1" maxValue="7"/>
    </cacheField>
    <cacheField name="initial weight" numFmtId="164">
      <sharedItems containsString="0" containsBlank="1" containsNumber="1" minValue="4.8000000000000001E-2" maxValue="0.76800000000000002"/>
    </cacheField>
    <cacheField name="final weight" numFmtId="164">
      <sharedItems containsString="0" containsBlank="1" containsNumber="1" minValue="4.9000000000000002E-2" maxValue="0.752"/>
    </cacheField>
    <cacheField name="change" numFmtId="164">
      <sharedItems containsString="0" containsBlank="1" containsNumber="1" minValue="-0.29090909090909089" maxValue="0.22302158273381292"/>
    </cacheField>
    <cacheField name="date" numFmtId="0">
      <sharedItems containsNonDate="0" containsDate="1" containsString="0" containsBlank="1" minDate="2013-07-01T00:00:00" maxDate="2013-07-1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">
  <r>
    <x v="0"/>
    <s v="old"/>
    <d v="2013-07-01T00:00:00"/>
    <n v="1.571"/>
    <n v="1.8859999999999999"/>
    <x v="0"/>
  </r>
  <r>
    <x v="1"/>
    <s v="old"/>
    <d v="2013-07-01T00:00:00"/>
    <n v="0.45200000000000001"/>
    <n v="0.48499999999999999"/>
    <x v="0"/>
  </r>
  <r>
    <x v="2"/>
    <s v="young"/>
    <d v="2013-07-02T00:00:00"/>
    <n v="0.246"/>
    <n v="0.27900000000000003"/>
    <x v="0"/>
  </r>
  <r>
    <x v="3"/>
    <s v="old"/>
    <d v="2013-07-03T00:00:00"/>
    <n v="0.84699999999999998"/>
    <n v="1.085"/>
    <x v="1"/>
  </r>
  <r>
    <x v="4"/>
    <s v="old"/>
    <d v="2013-07-03T00:00:00"/>
    <n v="0.93200000000000005"/>
    <n v="1.1339999999999999"/>
    <x v="1"/>
  </r>
  <r>
    <x v="5"/>
    <s v="old"/>
    <d v="2013-07-04T00:00:00"/>
    <n v="1.36"/>
    <n v="1.3759999999999999"/>
    <x v="1"/>
  </r>
  <r>
    <x v="6"/>
    <s v="old"/>
    <d v="2013-07-04T00:00:00"/>
    <n v="1.0089999999999999"/>
    <n v="0.98599999999999999"/>
    <x v="1"/>
  </r>
  <r>
    <x v="3"/>
    <s v="old"/>
    <d v="2013-07-05T00:00:00"/>
    <n v="1"/>
    <n v="1.206"/>
    <x v="0"/>
  </r>
  <r>
    <x v="7"/>
    <s v="old"/>
    <d v="2013-07-05T00:00:00"/>
    <n v="0.70799999999999996"/>
    <n v="0.92"/>
    <x v="0"/>
  </r>
  <r>
    <x v="4"/>
    <s v="old"/>
    <d v="2013-07-05T00:00:00"/>
    <n v="1.038"/>
    <n v="1.2849999999999999"/>
    <x v="0"/>
  </r>
  <r>
    <x v="8"/>
    <s v="young"/>
    <d v="2013-07-06T00:00:00"/>
    <n v="0.32500000000000001"/>
    <n v="0.38500000000000001"/>
    <x v="0"/>
  </r>
  <r>
    <x v="9"/>
    <s v="young"/>
    <d v="2013-07-06T00:00:00"/>
    <n v="0.22500000000000001"/>
    <n v="0.22600000000000001"/>
    <x v="0"/>
  </r>
  <r>
    <x v="10"/>
    <s v="young"/>
    <d v="2013-07-06T00:00:00"/>
    <n v="0.23899999999999999"/>
    <n v="0.28399999999999997"/>
    <x v="0"/>
  </r>
  <r>
    <x v="11"/>
    <s v="old"/>
    <d v="2013-07-06T00:00:00"/>
    <n v="1.863"/>
    <n v="1.895"/>
    <x v="0"/>
  </r>
  <r>
    <x v="7"/>
    <s v="old"/>
    <d v="2013-07-07T00:00:00"/>
    <n v="0.86099999999999999"/>
    <n v="1.0109999999999999"/>
    <x v="1"/>
  </r>
  <r>
    <x v="3"/>
    <s v="old"/>
    <d v="2013-07-07T00:00:00"/>
    <n v="1.115"/>
    <n v="1.2849999999999999"/>
    <x v="1"/>
  </r>
  <r>
    <x v="4"/>
    <s v="old"/>
    <d v="2013-07-07T00:00:00"/>
    <n v="1.1399999999999999"/>
    <n v="1.2989999999999999"/>
    <x v="1"/>
  </r>
  <r>
    <x v="8"/>
    <s v="young"/>
    <d v="2013-07-08T00:00:00"/>
    <n v="0.35699999999999998"/>
    <n v="0.42699999999999999"/>
    <x v="1"/>
  </r>
  <r>
    <x v="9"/>
    <s v="young"/>
    <d v="2013-07-08T00:00:00"/>
    <n v="0.21299999999999999"/>
    <n v="0.215"/>
    <x v="1"/>
  </r>
  <r>
    <x v="10"/>
    <s v="young"/>
    <d v="2013-07-08T00:00:00"/>
    <n v="0.26400000000000001"/>
    <n v="0.26900000000000002"/>
    <x v="1"/>
  </r>
  <r>
    <x v="11"/>
    <s v="old"/>
    <d v="2013-07-08T00:00:00"/>
    <n v="1.8680000000000001"/>
    <n v="1.9059999999999999"/>
    <x v="1"/>
  </r>
  <r>
    <x v="12"/>
    <s v="old"/>
    <d v="2013-07-09T00:00:00"/>
    <n v="0.96799999999999997"/>
    <n v="1.0580000000000001"/>
    <x v="0"/>
  </r>
  <r>
    <x v="1"/>
    <s v="old"/>
    <d v="2013-07-10T00:00:00"/>
    <n v="0.50800000000000001"/>
    <n v="0.66200000000000003"/>
    <x v="1"/>
  </r>
  <r>
    <x v="12"/>
    <s v="old"/>
    <d v="2013-07-12T00:00:00"/>
    <n v="1.012"/>
    <n v="1.145"/>
    <x v="1"/>
  </r>
  <r>
    <x v="13"/>
    <s v="old"/>
    <d v="2013-07-12T00:00:00"/>
    <n v="1.4339999999999999"/>
    <n v="1.4239999999999999"/>
    <x v="1"/>
  </r>
  <r>
    <x v="14"/>
    <s v="old"/>
    <d v="2013-07-15T00:00:00"/>
    <n v="0.33100000000000002"/>
    <n v="0.438"/>
    <x v="0"/>
  </r>
  <r>
    <x v="15"/>
    <m/>
    <m/>
    <m/>
    <m/>
    <x v="2"/>
  </r>
  <r>
    <x v="15"/>
    <m/>
    <m/>
    <m/>
    <m/>
    <x v="2"/>
  </r>
  <r>
    <x v="15"/>
    <m/>
    <m/>
    <m/>
    <m/>
    <x v="2"/>
  </r>
  <r>
    <x v="15"/>
    <m/>
    <m/>
    <m/>
    <m/>
    <x v="2"/>
  </r>
  <r>
    <x v="15"/>
    <m/>
    <m/>
    <m/>
    <m/>
    <x v="2"/>
  </r>
  <r>
    <x v="15"/>
    <m/>
    <m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3">
  <r>
    <x v="0"/>
    <x v="0"/>
    <s v="4F"/>
    <n v="1"/>
    <n v="4"/>
    <n v="7.1999999999999995E-2"/>
    <n v="7.3999999999999996E-2"/>
    <n v="2.7777777777777804E-2"/>
    <d v="2013-07-01T00:00:00"/>
  </r>
  <r>
    <x v="0"/>
    <x v="1"/>
    <s v="4M"/>
    <n v="2"/>
    <n v="4"/>
    <n v="7.3999999999999996E-2"/>
    <n v="6.9000000000000006E-2"/>
    <n v="-6.7567567567567446E-2"/>
    <d v="2013-07-01T00:00:00"/>
  </r>
  <r>
    <x v="0"/>
    <x v="0"/>
    <s v="1F"/>
    <n v="3"/>
    <n v="4"/>
    <n v="0.23799999999999999"/>
    <n v="0.21199999999999999"/>
    <n v="-0.10924369747899158"/>
    <d v="2013-07-01T00:00:00"/>
  </r>
  <r>
    <x v="0"/>
    <x v="1"/>
    <s v="1M"/>
    <n v="4"/>
    <n v="3"/>
    <n v="0.16400000000000001"/>
    <n v="0.153"/>
    <n v="-6.7073170731707377E-2"/>
    <d v="2013-07-01T00:00:00"/>
  </r>
  <r>
    <x v="0"/>
    <x v="0"/>
    <s v="4F"/>
    <n v="1"/>
    <n v="4"/>
    <n v="8.5999999999999993E-2"/>
    <n v="0.1"/>
    <n v="0.16279069767441876"/>
    <d v="2013-07-02T00:00:00"/>
  </r>
  <r>
    <x v="0"/>
    <x v="1"/>
    <s v="4M"/>
    <n v="2"/>
    <n v="4"/>
    <n v="0.17899999999999999"/>
    <n v="0.20300000000000001"/>
    <n v="0.13407821229050293"/>
    <d v="2013-07-02T00:00:00"/>
  </r>
  <r>
    <x v="0"/>
    <x v="0"/>
    <s v="3F"/>
    <n v="3"/>
    <n v="4"/>
    <n v="0.13500000000000001"/>
    <n v="0.127"/>
    <n v="-5.925925925925931E-2"/>
    <d v="2013-07-02T00:00:00"/>
  </r>
  <r>
    <x v="0"/>
    <x v="1"/>
    <s v="3M"/>
    <n v="4"/>
    <n v="7"/>
    <n v="0.17599999999999999"/>
    <n v="0.17599999999999999"/>
    <n v="0"/>
    <d v="2013-07-02T00:00:00"/>
  </r>
  <r>
    <x v="1"/>
    <x v="1"/>
    <s v="1M"/>
    <n v="1"/>
    <n v="2"/>
    <n v="0.125"/>
    <n v="0.124"/>
    <n v="-8.0000000000000071E-3"/>
    <d v="2013-07-03T00:00:00"/>
  </r>
  <r>
    <x v="1"/>
    <x v="0"/>
    <s v="1F"/>
    <n v="2"/>
    <n v="3"/>
    <n v="0.13700000000000001"/>
    <n v="0.11600000000000001"/>
    <n v="-0.15328467153284675"/>
    <d v="2013-07-03T00:00:00"/>
  </r>
  <r>
    <x v="1"/>
    <x v="1"/>
    <s v="2M"/>
    <n v="3"/>
    <n v="3"/>
    <n v="0.128"/>
    <n v="0.106"/>
    <n v="-0.17187500000000003"/>
    <d v="2013-07-03T00:00:00"/>
  </r>
  <r>
    <x v="1"/>
    <x v="0"/>
    <s v="2F"/>
    <n v="4"/>
    <n v="4"/>
    <n v="0.41199999999999998"/>
    <n v="0.40899999999999997"/>
    <n v="-7.2815533980582596E-3"/>
    <d v="2013-07-03T00:00:00"/>
  </r>
  <r>
    <x v="1"/>
    <x v="1"/>
    <s v="7M"/>
    <n v="1"/>
    <n v="3"/>
    <n v="0.23799999999999999"/>
    <n v="0.18"/>
    <n v="-0.24369747899159663"/>
    <d v="2013-07-04T00:00:00"/>
  </r>
  <r>
    <x v="1"/>
    <x v="1"/>
    <s v="8M"/>
    <n v="2"/>
    <n v="3"/>
    <n v="0.247"/>
    <n v="0.24"/>
    <n v="-2.8340080971659944E-2"/>
    <d v="2013-07-04T00:00:00"/>
  </r>
  <r>
    <x v="1"/>
    <x v="0"/>
    <s v="7F"/>
    <n v="3"/>
    <n v="3"/>
    <n v="0.19800000000000001"/>
    <n v="0.18099999999999999"/>
    <n v="-8.5858585858585926E-2"/>
    <d v="2013-07-04T00:00:00"/>
  </r>
  <r>
    <x v="1"/>
    <x v="0"/>
    <s v="8F"/>
    <n v="4"/>
    <n v="3"/>
    <n v="0.44"/>
    <n v="0.312"/>
    <n v="-0.29090909090909089"/>
    <d v="2013-07-04T00:00:00"/>
  </r>
  <r>
    <x v="0"/>
    <x v="1"/>
    <s v="5M"/>
    <n v="1"/>
    <n v="5"/>
    <n v="0.76800000000000002"/>
    <n v="0.752"/>
    <n v="-2.0833333333333353E-2"/>
    <d v="2013-07-05T00:00:00"/>
  </r>
  <r>
    <x v="0"/>
    <x v="1"/>
    <s v="6M"/>
    <n v="2"/>
    <n v="4"/>
    <n v="0.318"/>
    <n v="0.32100000000000001"/>
    <n v="9.4339622641509517E-3"/>
    <d v="2013-07-05T00:00:00"/>
  </r>
  <r>
    <x v="0"/>
    <x v="0"/>
    <s v="5F"/>
    <n v="3"/>
    <n v="4"/>
    <n v="0.113"/>
    <n v="0.124"/>
    <n v="9.7345132743362789E-2"/>
    <d v="2013-07-05T00:00:00"/>
  </r>
  <r>
    <x v="0"/>
    <x v="0"/>
    <s v="6F"/>
    <n v="4"/>
    <n v="4"/>
    <n v="0.125"/>
    <n v="0.126"/>
    <n v="8.0000000000000071E-3"/>
    <d v="2013-07-05T00:00:00"/>
  </r>
  <r>
    <x v="0"/>
    <x v="0"/>
    <s v="8F"/>
    <n v="1"/>
    <n v="3"/>
    <n v="0.307"/>
    <n v="0.316"/>
    <n v="2.9315960912052144E-2"/>
    <d v="2013-07-06T00:00:00"/>
  </r>
  <r>
    <x v="0"/>
    <x v="0"/>
    <s v="7F"/>
    <n v="2"/>
    <n v="7"/>
    <n v="0.35699999999999998"/>
    <n v="0.39300000000000002"/>
    <n v="0.10084033613445388"/>
    <d v="2013-07-06T00:00:00"/>
  </r>
  <r>
    <x v="0"/>
    <x v="1"/>
    <s v="7M"/>
    <n v="3"/>
    <n v="5"/>
    <n v="0.22900000000000001"/>
    <n v="0.26500000000000001"/>
    <n v="0.15720524017467249"/>
    <d v="2013-07-06T00:00:00"/>
  </r>
  <r>
    <x v="0"/>
    <x v="1"/>
    <s v="8M"/>
    <n v="4"/>
    <n v="2"/>
    <n v="0.17599999999999999"/>
    <n v="0.20499999999999999"/>
    <n v="0.16477272727272727"/>
    <d v="2013-07-06T00:00:00"/>
  </r>
  <r>
    <x v="1"/>
    <x v="0"/>
    <s v="3F"/>
    <n v="1"/>
    <n v="3"/>
    <n v="0.221"/>
    <m/>
    <m/>
    <d v="2013-07-07T00:00:00"/>
  </r>
  <r>
    <x v="1"/>
    <x v="0"/>
    <s v="4F"/>
    <n v="2"/>
    <n v="3"/>
    <n v="0.157"/>
    <m/>
    <m/>
    <d v="2013-07-07T00:00:00"/>
  </r>
  <r>
    <x v="1"/>
    <x v="1"/>
    <s v="3M"/>
    <n v="3"/>
    <n v="2"/>
    <n v="0.14299999999999999"/>
    <m/>
    <m/>
    <d v="2013-07-07T00:00:00"/>
  </r>
  <r>
    <x v="1"/>
    <x v="1"/>
    <s v="4M"/>
    <n v="4"/>
    <n v="3"/>
    <n v="0.35699999999999998"/>
    <m/>
    <m/>
    <d v="2013-07-07T00:00:00"/>
  </r>
  <r>
    <x v="1"/>
    <x v="1"/>
    <s v="5M"/>
    <n v="1"/>
    <n v="4"/>
    <n v="0.46300000000000002"/>
    <n v="0.40799999999999997"/>
    <n v="-0.11879049676025928"/>
    <d v="2013-07-08T00:00:00"/>
  </r>
  <r>
    <x v="1"/>
    <x v="1"/>
    <s v="6M"/>
    <n v="2"/>
    <n v="3"/>
    <n v="0.255"/>
    <n v="0.27200000000000002"/>
    <n v="6.6666666666666721E-2"/>
    <d v="2013-07-08T00:00:00"/>
  </r>
  <r>
    <x v="1"/>
    <x v="0"/>
    <s v="5F"/>
    <n v="3"/>
    <n v="3"/>
    <n v="0.189"/>
    <n v="0.2"/>
    <n v="5.8201058201058253E-2"/>
    <d v="2013-07-08T00:00:00"/>
  </r>
  <r>
    <x v="1"/>
    <x v="0"/>
    <s v="6F"/>
    <n v="4"/>
    <n v="6"/>
    <n v="0.29199999999999998"/>
    <n v="0.22700000000000001"/>
    <n v="-0.22260273972602732"/>
    <d v="2013-07-08T00:00:00"/>
  </r>
  <r>
    <x v="0"/>
    <x v="0"/>
    <s v="1F"/>
    <n v="1"/>
    <n v="5"/>
    <n v="0.40200000000000002"/>
    <n v="0.38800000000000001"/>
    <n v="-3.4825870646766198E-2"/>
    <d v="2013-07-09T00:00:00"/>
  </r>
  <r>
    <x v="0"/>
    <x v="0"/>
    <s v="2F"/>
    <n v="2"/>
    <n v="1"/>
    <n v="6.9000000000000006E-2"/>
    <n v="7.0000000000000007E-2"/>
    <n v="1.4492753623188418E-2"/>
    <d v="2013-07-09T00:00:00"/>
  </r>
  <r>
    <x v="0"/>
    <x v="1"/>
    <s v="1M"/>
    <n v="3"/>
    <n v="4"/>
    <n v="0.25"/>
    <n v="0.23200000000000001"/>
    <n v="-7.1999999999999953E-2"/>
    <d v="2013-07-09T00:00:00"/>
  </r>
  <r>
    <x v="0"/>
    <x v="1"/>
    <s v="2M"/>
    <n v="4"/>
    <n v="1"/>
    <n v="0.14799999999999999"/>
    <n v="0.14199999999999999"/>
    <n v="-4.0540540540540577E-2"/>
    <d v="2013-07-09T00:00:00"/>
  </r>
  <r>
    <x v="1"/>
    <x v="0"/>
    <s v="1F"/>
    <n v="1"/>
    <n v="4"/>
    <n v="0.154"/>
    <n v="0.159"/>
    <n v="3.2467532467532499E-2"/>
    <d v="2013-07-10T00:00:00"/>
  </r>
  <r>
    <x v="1"/>
    <x v="0"/>
    <s v="2F"/>
    <n v="2"/>
    <n v="1"/>
    <n v="4.8000000000000001E-2"/>
    <n v="4.9000000000000002E-2"/>
    <n v="2.0833333333333353E-2"/>
    <d v="2013-07-10T00:00:00"/>
  </r>
  <r>
    <x v="1"/>
    <x v="1"/>
    <s v="1M"/>
    <n v="3"/>
    <n v="3"/>
    <n v="0.41499999999999998"/>
    <n v="0.375"/>
    <n v="-9.6385542168674662E-2"/>
    <d v="2013-07-10T00:00:00"/>
  </r>
  <r>
    <x v="1"/>
    <x v="1"/>
    <s v="2M"/>
    <n v="4"/>
    <n v="1"/>
    <n v="0.13900000000000001"/>
    <n v="0.17"/>
    <n v="0.22302158273381292"/>
    <d v="2013-07-10T00:00:00"/>
  </r>
  <r>
    <x v="0"/>
    <x v="0"/>
    <s v="6F"/>
    <n v="1"/>
    <n v="3"/>
    <n v="0.29899999999999999"/>
    <n v="0.27300000000000002"/>
    <n v="-8.6956521739130335E-2"/>
    <d v="2013-07-11T00:00:00"/>
  </r>
  <r>
    <x v="0"/>
    <x v="1"/>
    <s v="6M"/>
    <n v="2"/>
    <n v="3"/>
    <n v="0.36799999999999999"/>
    <n v="0.35099999999999998"/>
    <n v="-4.6195652173913082E-2"/>
    <d v="2013-07-11T00:00:00"/>
  </r>
  <r>
    <x v="0"/>
    <x v="1"/>
    <s v="7M"/>
    <n v="3"/>
    <n v="5"/>
    <n v="0.32900000000000001"/>
    <n v="0.28100000000000003"/>
    <n v="-0.14589665653495437"/>
    <d v="2013-07-11T00:00:00"/>
  </r>
  <r>
    <x v="0"/>
    <x v="0"/>
    <s v="7F"/>
    <n v="4"/>
    <n v="4"/>
    <n v="0.189"/>
    <n v="0.191"/>
    <n v="1.0582010582010592E-2"/>
    <d v="2013-07-11T00:00:00"/>
  </r>
  <r>
    <x v="1"/>
    <x v="1"/>
    <s v="3M"/>
    <n v="1"/>
    <n v="3"/>
    <n v="0.22800000000000001"/>
    <n v="0.22"/>
    <n v="-3.5087719298245647E-2"/>
    <d v="2013-07-12T00:00:00"/>
  </r>
  <r>
    <x v="1"/>
    <x v="1"/>
    <s v="4M"/>
    <n v="2"/>
    <n v="3"/>
    <n v="0.16400000000000001"/>
    <n v="0.16"/>
    <n v="-2.4390243902439046E-2"/>
    <d v="2013-07-12T00:00:00"/>
  </r>
  <r>
    <x v="1"/>
    <x v="0"/>
    <s v="3F"/>
    <n v="3"/>
    <n v="3"/>
    <n v="0.29699999999999999"/>
    <n v="0.28499999999999998"/>
    <n v="-4.0404040404040442E-2"/>
    <d v="2013-07-12T00:00:00"/>
  </r>
  <r>
    <x v="1"/>
    <x v="0"/>
    <s v="4F"/>
    <n v="4"/>
    <n v="3"/>
    <n v="0.48799999999999999"/>
    <n v="0.41"/>
    <n v="-0.15983606557377053"/>
    <d v="2013-07-12T00:00:00"/>
  </r>
  <r>
    <x v="0"/>
    <x v="1"/>
    <s v="1M"/>
    <n v="1"/>
    <n v="3"/>
    <n v="0.122"/>
    <n v="0.129"/>
    <n v="5.7377049180327919E-2"/>
    <d v="2013-07-13T00:00:00"/>
  </r>
  <r>
    <x v="0"/>
    <x v="1"/>
    <s v="2M"/>
    <n v="2"/>
    <n v="5"/>
    <n v="0.217"/>
    <n v="0.20799999999999999"/>
    <n v="-4.147465437788022E-2"/>
    <d v="2013-07-13T00:00:00"/>
  </r>
  <r>
    <x v="0"/>
    <x v="0"/>
    <s v="1F"/>
    <n v="3"/>
    <n v="4"/>
    <n v="0.2"/>
    <n v="0.191"/>
    <n v="-4.500000000000004E-2"/>
    <d v="2013-07-13T00:00:00"/>
  </r>
  <r>
    <x v="0"/>
    <x v="0"/>
    <s v="2F"/>
    <n v="4"/>
    <n v="4"/>
    <n v="0.186"/>
    <n v="0.183"/>
    <n v="-1.612903225806453E-2"/>
    <d v="2013-07-13T00:00:00"/>
  </r>
  <r>
    <x v="0"/>
    <x v="1"/>
    <s v="1M"/>
    <n v="1"/>
    <n v="3"/>
    <n v="0.152"/>
    <n v="0.14799999999999999"/>
    <n v="-2.6315789473684233E-2"/>
    <d v="2013-07-14T00:00:00"/>
  </r>
  <r>
    <x v="0"/>
    <x v="1"/>
    <s v="3M"/>
    <n v="2"/>
    <n v="3"/>
    <n v="0.124"/>
    <n v="0.11799999999999999"/>
    <n v="-4.8387096774193589E-2"/>
    <d v="2013-07-14T00:00:00"/>
  </r>
  <r>
    <x v="0"/>
    <x v="0"/>
    <s v="1F"/>
    <n v="3"/>
    <n v="4"/>
    <n v="0.16600000000000001"/>
    <n v="0.14599999999999999"/>
    <n v="-0.12048192771084347"/>
    <d v="2013-07-14T00:00:00"/>
  </r>
  <r>
    <x v="0"/>
    <x v="0"/>
    <s v="3F"/>
    <n v="4"/>
    <n v="4"/>
    <n v="0.186"/>
    <n v="0.18"/>
    <n v="-3.2258064516129059E-2"/>
    <d v="2013-07-14T00:00:00"/>
  </r>
  <r>
    <x v="0"/>
    <x v="0"/>
    <s v="3F"/>
    <n v="1"/>
    <n v="4"/>
    <n v="0.159"/>
    <n v="0.16400000000000001"/>
    <n v="3.1446540880503172E-2"/>
    <d v="2013-07-15T00:00:00"/>
  </r>
  <r>
    <x v="0"/>
    <x v="0"/>
    <s v="4F"/>
    <n v="2"/>
    <n v="4"/>
    <n v="0.16600000000000001"/>
    <n v="0.17199999999999999"/>
    <n v="3.6144578313252872E-2"/>
    <d v="2013-07-15T00:00:00"/>
  </r>
  <r>
    <x v="0"/>
    <x v="1"/>
    <s v="3M"/>
    <n v="3"/>
    <n v="5"/>
    <n v="0.246"/>
    <n v="0.24"/>
    <n v="-2.4390243902439046E-2"/>
    <d v="2013-07-15T00:00:00"/>
  </r>
  <r>
    <x v="0"/>
    <x v="1"/>
    <s v="4M"/>
    <n v="4"/>
    <n v="3"/>
    <n v="0.159"/>
    <n v="0.13800000000000001"/>
    <n v="-0.13207547169811315"/>
    <d v="2013-07-15T00:00:00"/>
  </r>
  <r>
    <x v="1"/>
    <x v="1"/>
    <s v="1M"/>
    <n v="1"/>
    <n v="2"/>
    <n v="0.34300000000000003"/>
    <n v="0.35499999999999998"/>
    <n v="3.4985422740524651E-2"/>
    <d v="2013-07-16T00:00:00"/>
  </r>
  <r>
    <x v="1"/>
    <x v="1"/>
    <s v="2M"/>
    <n v="2"/>
    <n v="2"/>
    <n v="0.23899999999999999"/>
    <n v="0.217"/>
    <n v="-9.2050209205020883E-2"/>
    <d v="2013-07-16T00:00:00"/>
  </r>
  <r>
    <x v="1"/>
    <x v="0"/>
    <s v="1F"/>
    <n v="3"/>
    <n v="2"/>
    <n v="0.16300000000000001"/>
    <n v="0.13800000000000001"/>
    <n v="-0.1533742331288343"/>
    <d v="2013-07-16T00:00:00"/>
  </r>
  <r>
    <x v="1"/>
    <x v="0"/>
    <s v="2F"/>
    <n v="4"/>
    <n v="1"/>
    <n v="0.188"/>
    <n v="0.16400000000000001"/>
    <n v="-0.12765957446808507"/>
    <d v="2013-07-16T00:00:00"/>
  </r>
  <r>
    <x v="1"/>
    <x v="0"/>
    <s v="3F"/>
    <n v="1"/>
    <n v="2"/>
    <n v="0.20899999999999999"/>
    <n v="0.17599999999999999"/>
    <n v="-0.15789473684210528"/>
    <d v="2013-07-17T00:00:00"/>
  </r>
  <r>
    <x v="1"/>
    <x v="0"/>
    <s v="4F"/>
    <n v="2"/>
    <n v="2"/>
    <n v="0.21299999999999999"/>
    <n v="0.215"/>
    <n v="9.3896713615023563E-3"/>
    <d v="2013-07-17T00:00:00"/>
  </r>
  <r>
    <x v="1"/>
    <x v="1"/>
    <s v="3M"/>
    <n v="3"/>
    <n v="4"/>
    <n v="0.42299999999999999"/>
    <n v="0.40699999999999997"/>
    <n v="-3.782505910165488E-2"/>
    <d v="2013-07-17T00:00:00"/>
  </r>
  <r>
    <x v="1"/>
    <x v="1"/>
    <s v="4M"/>
    <n v="4"/>
    <n v="3"/>
    <n v="0.26"/>
    <n v="0.20399999999999999"/>
    <n v="-0.21538461538461545"/>
    <d v="2013-07-17T00:00:00"/>
  </r>
  <r>
    <x v="1"/>
    <x v="1"/>
    <s v="3M"/>
    <n v="1"/>
    <n v="4"/>
    <n v="0.4"/>
    <m/>
    <m/>
    <d v="2013-07-18T00:00:00"/>
  </r>
  <r>
    <x v="1"/>
    <x v="1"/>
    <s v="4M"/>
    <n v="2"/>
    <n v="3"/>
    <n v="0.22800000000000001"/>
    <m/>
    <m/>
    <d v="2013-07-18T00:00:00"/>
  </r>
  <r>
    <x v="1"/>
    <x v="0"/>
    <s v="3F"/>
    <n v="3"/>
    <n v="4"/>
    <n v="0.124"/>
    <m/>
    <m/>
    <d v="2013-07-18T00:00:00"/>
  </r>
  <r>
    <x v="1"/>
    <x v="0"/>
    <s v="4F"/>
    <n v="4"/>
    <n v="2"/>
    <n v="0.28199999999999997"/>
    <m/>
    <m/>
    <d v="2013-07-18T00:00:00"/>
  </r>
  <r>
    <x v="2"/>
    <x v="2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K4:N7" firstHeaderRow="0" firstDataRow="1" firstDataCol="1" rowPageCount="1" colPageCount="1"/>
  <pivotFields count="9">
    <pivotField axis="axisPage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item="0" hier="-1"/>
  </pageFields>
  <dataFields count="3">
    <dataField name="Average of change" fld="7" subtotal="average" baseField="1" baseItem="0"/>
    <dataField name="StdDev of change" fld="7" subtotal="stdDev" baseField="1" baseItem="0"/>
    <dataField name="Count of change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2:H44" firstHeaderRow="1" firstDataRow="1" firstDataCol="1"/>
  <pivotFields count="6">
    <pivotField axis="axisRow" showAll="0">
      <items count="18">
        <item x="3"/>
        <item x="7"/>
        <item x="8"/>
        <item x="4"/>
        <item m="1" x="16"/>
        <item x="2"/>
        <item x="9"/>
        <item x="10"/>
        <item x="0"/>
        <item x="1"/>
        <item x="5"/>
        <item x="6"/>
        <item x="11"/>
        <item x="15"/>
        <item x="12"/>
        <item x="13"/>
        <item x="14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2">
    <field x="0"/>
    <field x="5"/>
  </rowFields>
  <rowItems count="42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5"/>
    </i>
    <i r="1">
      <x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>
      <x v="9"/>
    </i>
    <i r="1">
      <x/>
    </i>
    <i r="1">
      <x v="1"/>
    </i>
    <i>
      <x v="10"/>
    </i>
    <i r="1">
      <x v="1"/>
    </i>
    <i>
      <x v="11"/>
    </i>
    <i r="1">
      <x v="1"/>
    </i>
    <i>
      <x v="12"/>
    </i>
    <i r="1">
      <x/>
    </i>
    <i r="1">
      <x v="1"/>
    </i>
    <i>
      <x v="13"/>
    </i>
    <i r="1">
      <x v="2"/>
    </i>
    <i>
      <x v="14"/>
    </i>
    <i r="1">
      <x/>
    </i>
    <i r="1">
      <x v="1"/>
    </i>
    <i>
      <x v="15"/>
    </i>
    <i r="1">
      <x v="1"/>
    </i>
    <i>
      <x v="16"/>
    </i>
    <i r="1"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6"/>
  <sheetViews>
    <sheetView topLeftCell="N1" zoomScale="70" zoomScaleNormal="70" workbookViewId="0">
      <pane ySplit="3" topLeftCell="A58" activePane="bottomLeft" state="frozen"/>
      <selection pane="bottomLeft" activeCell="A3" sqref="A3:AO75"/>
    </sheetView>
  </sheetViews>
  <sheetFormatPr defaultColWidth="10.77734375" defaultRowHeight="14.4" x14ac:dyDescent="0.3"/>
  <cols>
    <col min="1" max="1" width="18.21875" bestFit="1" customWidth="1"/>
    <col min="2" max="2" width="7.21875" bestFit="1" customWidth="1"/>
    <col min="3" max="3" width="10.5546875" bestFit="1" customWidth="1"/>
    <col min="4" max="4" width="13.21875" style="12" customWidth="1"/>
    <col min="5" max="5" width="10.21875" style="12" customWidth="1"/>
    <col min="6" max="6" width="15" style="1" bestFit="1" customWidth="1"/>
    <col min="7" max="7" width="7.5546875" style="1" customWidth="1"/>
    <col min="8" max="8" width="4.77734375" style="1" customWidth="1"/>
    <col min="9" max="9" width="6.77734375" style="1" customWidth="1"/>
    <col min="10" max="10" width="7.21875" style="1" customWidth="1"/>
    <col min="11" max="11" width="7.77734375" customWidth="1"/>
    <col min="12" max="12" width="7.44140625" customWidth="1"/>
    <col min="13" max="13" width="6.5546875" customWidth="1"/>
    <col min="14" max="14" width="8.5546875" customWidth="1"/>
    <col min="15" max="15" width="7.21875" style="2" customWidth="1"/>
    <col min="16" max="16" width="7.21875" style="1" customWidth="1"/>
    <col min="17" max="17" width="10.77734375" style="1" customWidth="1"/>
    <col min="18" max="18" width="9.21875" style="1" customWidth="1"/>
    <col min="19" max="19" width="9.21875" customWidth="1"/>
    <col min="20" max="20" width="7" customWidth="1"/>
    <col min="21" max="22" width="9.21875" customWidth="1"/>
    <col min="23" max="23" width="7.5546875" style="2" customWidth="1"/>
    <col min="24" max="24" width="4.77734375" style="1" customWidth="1"/>
    <col min="25" max="25" width="6.77734375" style="1" customWidth="1"/>
    <col min="26" max="27" width="7.77734375" customWidth="1"/>
    <col min="28" max="28" width="7.44140625" customWidth="1"/>
    <col min="29" max="29" width="6.5546875" customWidth="1"/>
    <col min="30" max="30" width="8.5546875" customWidth="1"/>
    <col min="31" max="31" width="7.21875" style="2" customWidth="1"/>
    <col min="32" max="32" width="7.21875" style="1" customWidth="1"/>
    <col min="33" max="33" width="6.77734375" customWidth="1"/>
    <col min="34" max="34" width="9.21875" customWidth="1"/>
    <col min="35" max="35" width="9.21875" style="1" customWidth="1"/>
    <col min="36" max="37" width="7" customWidth="1"/>
    <col min="38" max="38" width="9.21875" customWidth="1"/>
    <col min="39" max="39" width="9.77734375" style="1" bestFit="1" customWidth="1"/>
    <col min="40" max="41" width="10.77734375" customWidth="1"/>
  </cols>
  <sheetData>
    <row r="1" spans="1:41" x14ac:dyDescent="0.3">
      <c r="D1" s="28"/>
      <c r="E1" s="28"/>
    </row>
    <row r="2" spans="1:41" s="3" customFormat="1" x14ac:dyDescent="0.3">
      <c r="D2" s="29" t="s">
        <v>0</v>
      </c>
      <c r="E2" s="30"/>
      <c r="F2" s="4"/>
      <c r="G2" s="4"/>
      <c r="H2" s="4"/>
      <c r="I2" s="4"/>
      <c r="J2" s="6"/>
      <c r="K2" s="4"/>
      <c r="L2" s="4"/>
      <c r="M2" s="4"/>
      <c r="N2" s="4"/>
      <c r="O2" s="13"/>
      <c r="P2" s="25"/>
      <c r="Q2" s="4"/>
      <c r="R2" s="6"/>
      <c r="S2" s="4"/>
      <c r="T2" s="4"/>
      <c r="U2" s="4"/>
      <c r="V2" s="4"/>
      <c r="W2" s="5"/>
      <c r="X2" s="4"/>
      <c r="Y2" s="4"/>
      <c r="AA2" s="4"/>
      <c r="AB2" s="4"/>
      <c r="AC2" s="4"/>
      <c r="AD2" s="4"/>
      <c r="AE2" s="13"/>
      <c r="AF2" s="25"/>
      <c r="AG2" s="4"/>
      <c r="AI2" s="25"/>
      <c r="AJ2" s="4"/>
      <c r="AK2" s="4"/>
      <c r="AL2" s="4"/>
      <c r="AM2" s="6"/>
    </row>
    <row r="3" spans="1:41" s="3" customFormat="1" ht="30.6" customHeight="1" x14ac:dyDescent="0.3">
      <c r="A3" s="3" t="s">
        <v>2</v>
      </c>
      <c r="B3" s="3" t="s">
        <v>11</v>
      </c>
      <c r="C3" s="3" t="s">
        <v>3</v>
      </c>
      <c r="D3" s="31" t="s">
        <v>4</v>
      </c>
      <c r="E3" s="31" t="s">
        <v>5</v>
      </c>
      <c r="F3" s="7" t="s">
        <v>17</v>
      </c>
      <c r="G3" s="7" t="s">
        <v>6</v>
      </c>
      <c r="H3" s="7" t="s">
        <v>42</v>
      </c>
      <c r="I3" s="7" t="s">
        <v>18</v>
      </c>
      <c r="J3" s="7" t="s">
        <v>7</v>
      </c>
      <c r="K3" s="7" t="s">
        <v>4</v>
      </c>
      <c r="L3" s="7" t="s">
        <v>8</v>
      </c>
      <c r="M3" s="7" t="s">
        <v>5</v>
      </c>
      <c r="N3" s="7" t="s">
        <v>9</v>
      </c>
      <c r="O3" s="8" t="s">
        <v>6</v>
      </c>
      <c r="P3" s="7" t="s">
        <v>42</v>
      </c>
      <c r="Q3" s="7" t="s">
        <v>18</v>
      </c>
      <c r="R3" s="7" t="s">
        <v>7</v>
      </c>
      <c r="S3" s="7" t="s">
        <v>4</v>
      </c>
      <c r="T3" s="7" t="s">
        <v>8</v>
      </c>
      <c r="U3" s="7" t="s">
        <v>5</v>
      </c>
      <c r="V3" s="7" t="s">
        <v>9</v>
      </c>
      <c r="W3" s="8" t="s">
        <v>6</v>
      </c>
      <c r="X3" s="7" t="s">
        <v>42</v>
      </c>
      <c r="Y3" s="7" t="s">
        <v>18</v>
      </c>
      <c r="Z3" s="7" t="s">
        <v>7</v>
      </c>
      <c r="AA3" s="7" t="s">
        <v>4</v>
      </c>
      <c r="AB3" s="7" t="s">
        <v>8</v>
      </c>
      <c r="AC3" s="7" t="s">
        <v>5</v>
      </c>
      <c r="AD3" s="7" t="s">
        <v>9</v>
      </c>
      <c r="AE3" s="8" t="s">
        <v>6</v>
      </c>
      <c r="AF3" s="7" t="s">
        <v>42</v>
      </c>
      <c r="AG3" s="7" t="s">
        <v>18</v>
      </c>
      <c r="AH3" s="7" t="s">
        <v>7</v>
      </c>
      <c r="AI3" s="7" t="s">
        <v>4</v>
      </c>
      <c r="AJ3" s="7" t="s">
        <v>8</v>
      </c>
      <c r="AK3" s="7" t="s">
        <v>5</v>
      </c>
      <c r="AL3" s="7" t="s">
        <v>9</v>
      </c>
      <c r="AM3" s="7" t="s">
        <v>10</v>
      </c>
      <c r="AN3" s="3" t="s">
        <v>16</v>
      </c>
    </row>
    <row r="4" spans="1:41" s="40" customFormat="1" x14ac:dyDescent="0.3">
      <c r="A4" s="40" t="s">
        <v>37</v>
      </c>
      <c r="B4" s="40" t="s">
        <v>15</v>
      </c>
      <c r="C4" s="41">
        <v>41456</v>
      </c>
      <c r="D4" s="42">
        <v>1.645</v>
      </c>
      <c r="E4" s="42">
        <v>1.623</v>
      </c>
      <c r="F4" s="43" t="s">
        <v>1</v>
      </c>
      <c r="G4" s="43">
        <v>1</v>
      </c>
      <c r="H4" s="43" t="s">
        <v>46</v>
      </c>
      <c r="I4" s="43" t="s">
        <v>41</v>
      </c>
      <c r="J4" s="43">
        <v>7</v>
      </c>
      <c r="K4" s="43">
        <v>0.151</v>
      </c>
      <c r="L4" s="43">
        <v>7</v>
      </c>
      <c r="M4" s="44">
        <v>0.158</v>
      </c>
      <c r="N4" s="43">
        <v>0</v>
      </c>
      <c r="O4" s="45">
        <v>2</v>
      </c>
      <c r="P4" s="43" t="s">
        <v>47</v>
      </c>
      <c r="Q4" s="43" t="s">
        <v>44</v>
      </c>
      <c r="R4" s="43">
        <v>3</v>
      </c>
      <c r="S4" s="43">
        <v>8.4000000000000005E-2</v>
      </c>
      <c r="T4" s="43">
        <v>3</v>
      </c>
      <c r="U4" s="43">
        <v>8.5999999999999993E-2</v>
      </c>
      <c r="V4" s="43">
        <v>0</v>
      </c>
      <c r="W4" s="45">
        <v>3</v>
      </c>
      <c r="X4" s="43" t="s">
        <v>48</v>
      </c>
      <c r="Y4" s="43" t="s">
        <v>44</v>
      </c>
      <c r="Z4" s="43">
        <v>3</v>
      </c>
      <c r="AA4" s="43">
        <v>8.4000000000000005E-2</v>
      </c>
      <c r="AB4" s="43">
        <v>3</v>
      </c>
      <c r="AC4" s="43">
        <v>9.4E-2</v>
      </c>
      <c r="AD4" s="43">
        <v>0</v>
      </c>
      <c r="AE4" s="45">
        <v>4</v>
      </c>
      <c r="AF4" s="43" t="s">
        <v>49</v>
      </c>
      <c r="AG4" s="43" t="s">
        <v>41</v>
      </c>
      <c r="AH4" s="43">
        <v>4</v>
      </c>
      <c r="AI4" s="43">
        <v>0.122</v>
      </c>
      <c r="AJ4" s="43">
        <v>4</v>
      </c>
      <c r="AK4" s="43">
        <v>0.114</v>
      </c>
      <c r="AL4" s="43">
        <v>0</v>
      </c>
      <c r="AM4" s="43">
        <v>2E-3</v>
      </c>
      <c r="AN4" s="40" t="str">
        <f>IF((N4+V4+AD4+AL4=0), "WRONG!","ok")</f>
        <v>WRONG!</v>
      </c>
    </row>
    <row r="5" spans="1:41" x14ac:dyDescent="0.3">
      <c r="A5" t="s">
        <v>38</v>
      </c>
      <c r="B5" t="s">
        <v>15</v>
      </c>
      <c r="C5" s="9">
        <v>41456</v>
      </c>
      <c r="D5" s="12">
        <v>1.571</v>
      </c>
      <c r="E5" s="12">
        <v>1.8859999999999999</v>
      </c>
      <c r="F5" s="1" t="s">
        <v>1</v>
      </c>
      <c r="G5" s="1">
        <v>1</v>
      </c>
      <c r="H5" s="1" t="s">
        <v>49</v>
      </c>
      <c r="I5" s="1" t="s">
        <v>41</v>
      </c>
      <c r="J5" s="1">
        <v>3</v>
      </c>
      <c r="K5" s="1">
        <v>8.5999999999999993E-2</v>
      </c>
      <c r="L5" s="1">
        <v>0</v>
      </c>
      <c r="M5" s="1">
        <v>4.4999999999999998E-2</v>
      </c>
      <c r="N5" s="1">
        <v>4</v>
      </c>
      <c r="O5" s="2">
        <v>2</v>
      </c>
      <c r="P5" s="1" t="s">
        <v>50</v>
      </c>
      <c r="Q5" s="1" t="s">
        <v>41</v>
      </c>
      <c r="R5" s="1">
        <v>4</v>
      </c>
      <c r="S5" s="1">
        <v>8.3000000000000004E-2</v>
      </c>
      <c r="T5" s="1">
        <v>1</v>
      </c>
      <c r="U5" s="1">
        <v>0.05</v>
      </c>
      <c r="V5" s="1">
        <v>4</v>
      </c>
      <c r="W5" s="2">
        <v>3</v>
      </c>
      <c r="X5" s="1" t="s">
        <v>51</v>
      </c>
      <c r="Y5" s="1" t="s">
        <v>44</v>
      </c>
      <c r="Z5" s="1">
        <v>4</v>
      </c>
      <c r="AA5" s="1">
        <v>0.16500000000000001</v>
      </c>
      <c r="AB5" s="1">
        <v>1</v>
      </c>
      <c r="AC5" s="1">
        <v>7.3999999999999996E-2</v>
      </c>
      <c r="AD5" s="1">
        <v>0</v>
      </c>
      <c r="AE5" s="2">
        <v>4</v>
      </c>
      <c r="AF5" s="1" t="s">
        <v>48</v>
      </c>
      <c r="AG5" s="1" t="s">
        <v>44</v>
      </c>
      <c r="AH5" s="1">
        <v>4</v>
      </c>
      <c r="AI5" s="1">
        <v>0.105</v>
      </c>
      <c r="AJ5" s="1">
        <v>0</v>
      </c>
      <c r="AK5" s="1">
        <v>0</v>
      </c>
      <c r="AL5" s="1">
        <v>4</v>
      </c>
      <c r="AM5" s="1">
        <v>4.7E-2</v>
      </c>
      <c r="AN5" t="str">
        <f t="shared" ref="AN5:AN32" si="0">IF((N5+V5+AD5+AL5=0), "WRONG!","ok")</f>
        <v>ok</v>
      </c>
    </row>
    <row r="6" spans="1:41" x14ac:dyDescent="0.3">
      <c r="A6" t="s">
        <v>39</v>
      </c>
      <c r="B6" t="s">
        <v>15</v>
      </c>
      <c r="C6" s="9">
        <v>41456</v>
      </c>
      <c r="D6" s="12">
        <v>0.45200000000000001</v>
      </c>
      <c r="E6" s="12">
        <v>0.48499999999999999</v>
      </c>
      <c r="F6" s="1" t="s">
        <v>1</v>
      </c>
      <c r="G6" s="1">
        <v>1</v>
      </c>
      <c r="H6" s="1" t="s">
        <v>43</v>
      </c>
      <c r="I6" s="1" t="s">
        <v>41</v>
      </c>
      <c r="J6" s="1">
        <v>3</v>
      </c>
      <c r="K6" s="1">
        <v>0.10299999999999999</v>
      </c>
      <c r="L6" s="1">
        <v>3</v>
      </c>
      <c r="M6" s="1">
        <v>0.11</v>
      </c>
      <c r="N6" s="1">
        <v>0</v>
      </c>
      <c r="O6" s="2">
        <v>2</v>
      </c>
      <c r="P6" s="1" t="s">
        <v>45</v>
      </c>
      <c r="Q6" s="1" t="s">
        <v>44</v>
      </c>
      <c r="R6" s="1">
        <v>4</v>
      </c>
      <c r="S6" s="1">
        <v>0.13200000000000001</v>
      </c>
      <c r="T6" s="1">
        <v>4</v>
      </c>
      <c r="U6" s="1">
        <v>0.13900000000000001</v>
      </c>
      <c r="V6" s="1">
        <v>0</v>
      </c>
      <c r="W6" s="2">
        <v>3</v>
      </c>
      <c r="X6" s="1" t="s">
        <v>50</v>
      </c>
      <c r="Y6" s="1" t="s">
        <v>41</v>
      </c>
      <c r="Z6" s="1">
        <v>3</v>
      </c>
      <c r="AA6" s="1">
        <v>0.09</v>
      </c>
      <c r="AB6" s="1">
        <v>3</v>
      </c>
      <c r="AC6" s="1">
        <v>0.1</v>
      </c>
      <c r="AD6" s="1">
        <v>0</v>
      </c>
      <c r="AE6" s="2">
        <v>4</v>
      </c>
      <c r="AF6" s="1" t="s">
        <v>51</v>
      </c>
      <c r="AG6" s="1" t="s">
        <v>44</v>
      </c>
      <c r="AH6" s="1">
        <v>4</v>
      </c>
      <c r="AI6" s="1">
        <v>0.13600000000000001</v>
      </c>
      <c r="AJ6" s="1">
        <v>1</v>
      </c>
      <c r="AK6" s="1">
        <v>7.9000000000000001E-2</v>
      </c>
      <c r="AL6" s="1">
        <v>3</v>
      </c>
      <c r="AM6" s="1">
        <v>4.0000000000000001E-3</v>
      </c>
      <c r="AN6" t="str">
        <f t="shared" si="0"/>
        <v>ok</v>
      </c>
      <c r="AO6" t="s">
        <v>52</v>
      </c>
    </row>
    <row r="7" spans="1:41" s="40" customFormat="1" x14ac:dyDescent="0.3">
      <c r="A7" s="40" t="s">
        <v>40</v>
      </c>
      <c r="B7" s="40" t="s">
        <v>15</v>
      </c>
      <c r="C7" s="41">
        <v>41456</v>
      </c>
      <c r="D7" s="42">
        <v>0.91</v>
      </c>
      <c r="E7" s="42">
        <v>0.90300000000000002</v>
      </c>
      <c r="F7" s="43" t="s">
        <v>1</v>
      </c>
      <c r="G7" s="43">
        <v>1</v>
      </c>
      <c r="H7" s="43" t="s">
        <v>47</v>
      </c>
      <c r="I7" s="43" t="s">
        <v>44</v>
      </c>
      <c r="J7" s="43">
        <v>4</v>
      </c>
      <c r="K7" s="43">
        <v>0.121</v>
      </c>
      <c r="L7" s="43">
        <v>4</v>
      </c>
      <c r="M7" s="43">
        <v>0.11700000000000001</v>
      </c>
      <c r="N7" s="43">
        <v>0</v>
      </c>
      <c r="O7" s="45">
        <v>2</v>
      </c>
      <c r="P7" s="43" t="s">
        <v>43</v>
      </c>
      <c r="Q7" s="43" t="s">
        <v>41</v>
      </c>
      <c r="R7" s="43">
        <v>4</v>
      </c>
      <c r="S7" s="43">
        <v>9.6000000000000002E-2</v>
      </c>
      <c r="T7" s="43">
        <v>4</v>
      </c>
      <c r="U7" s="43">
        <v>0.105</v>
      </c>
      <c r="V7" s="43">
        <v>0</v>
      </c>
      <c r="W7" s="45">
        <v>3</v>
      </c>
      <c r="X7" s="43" t="s">
        <v>45</v>
      </c>
      <c r="Y7" s="43" t="s">
        <v>44</v>
      </c>
      <c r="Z7" s="43">
        <v>4</v>
      </c>
      <c r="AA7" s="43">
        <v>0.12</v>
      </c>
      <c r="AB7" s="43">
        <v>4</v>
      </c>
      <c r="AC7" s="43">
        <v>0.10299999999999999</v>
      </c>
      <c r="AD7" s="43">
        <v>0</v>
      </c>
      <c r="AE7" s="45">
        <v>4</v>
      </c>
      <c r="AF7" s="43" t="s">
        <v>46</v>
      </c>
      <c r="AG7" s="43" t="s">
        <v>41</v>
      </c>
      <c r="AH7" s="43">
        <v>4</v>
      </c>
      <c r="AI7" s="43">
        <v>0.20799999999999999</v>
      </c>
      <c r="AJ7" s="43">
        <v>4</v>
      </c>
      <c r="AK7" s="43">
        <v>0.19800000000000001</v>
      </c>
      <c r="AL7" s="43">
        <v>0</v>
      </c>
      <c r="AM7" s="43">
        <v>0</v>
      </c>
      <c r="AN7" s="40" t="str">
        <f t="shared" si="0"/>
        <v>WRONG!</v>
      </c>
      <c r="AO7" s="40" t="s">
        <v>69</v>
      </c>
    </row>
    <row r="8" spans="1:41" s="40" customFormat="1" x14ac:dyDescent="0.3">
      <c r="A8" s="40" t="s">
        <v>54</v>
      </c>
      <c r="B8" s="40" t="s">
        <v>55</v>
      </c>
      <c r="C8" s="41">
        <v>41457</v>
      </c>
      <c r="D8" s="42">
        <v>0.29099999999999998</v>
      </c>
      <c r="E8" s="42">
        <v>0.30599999999999999</v>
      </c>
      <c r="F8" s="43" t="s">
        <v>1</v>
      </c>
      <c r="G8" s="43">
        <v>1</v>
      </c>
      <c r="H8" s="43" t="s">
        <v>47</v>
      </c>
      <c r="I8" s="43" t="s">
        <v>44</v>
      </c>
      <c r="J8" s="43">
        <v>6</v>
      </c>
      <c r="K8" s="43">
        <v>0.32900000000000001</v>
      </c>
      <c r="L8" s="43">
        <v>6</v>
      </c>
      <c r="M8" s="43">
        <v>0.34799999999999998</v>
      </c>
      <c r="N8" s="43">
        <v>0</v>
      </c>
      <c r="O8" s="45">
        <v>2</v>
      </c>
      <c r="P8" s="43" t="s">
        <v>50</v>
      </c>
      <c r="Q8" s="43" t="s">
        <v>41</v>
      </c>
      <c r="R8" s="43">
        <v>4</v>
      </c>
      <c r="S8" s="43">
        <v>0.218</v>
      </c>
      <c r="T8" s="43">
        <v>4</v>
      </c>
      <c r="U8" s="43">
        <v>0.16800000000000001</v>
      </c>
      <c r="V8" s="43">
        <v>0</v>
      </c>
      <c r="W8" s="45">
        <v>3</v>
      </c>
      <c r="X8" s="43" t="s">
        <v>46</v>
      </c>
      <c r="Y8" s="43" t="s">
        <v>41</v>
      </c>
      <c r="Z8" s="43">
        <v>7</v>
      </c>
      <c r="AA8" s="43">
        <v>0.26</v>
      </c>
      <c r="AB8" s="43">
        <v>7</v>
      </c>
      <c r="AC8" s="43">
        <v>0.158</v>
      </c>
      <c r="AD8" s="43">
        <v>0</v>
      </c>
      <c r="AE8" s="45">
        <v>4</v>
      </c>
      <c r="AF8" s="43" t="s">
        <v>51</v>
      </c>
      <c r="AG8" s="43" t="s">
        <v>44</v>
      </c>
      <c r="AH8" s="43">
        <v>4</v>
      </c>
      <c r="AI8" s="43">
        <v>0.154</v>
      </c>
      <c r="AJ8" s="43">
        <v>4</v>
      </c>
      <c r="AK8" s="43">
        <v>0.109</v>
      </c>
      <c r="AL8" s="43">
        <v>0</v>
      </c>
      <c r="AM8" s="43">
        <v>0.05</v>
      </c>
      <c r="AN8" s="40" t="str">
        <f t="shared" si="0"/>
        <v>WRONG!</v>
      </c>
    </row>
    <row r="9" spans="1:41" s="40" customFormat="1" x14ac:dyDescent="0.3">
      <c r="A9" s="40" t="s">
        <v>56</v>
      </c>
      <c r="B9" s="40" t="s">
        <v>55</v>
      </c>
      <c r="C9" s="41">
        <v>41457</v>
      </c>
      <c r="D9" s="42">
        <v>0.46899999999999997</v>
      </c>
      <c r="E9" s="42">
        <v>0.46400000000000002</v>
      </c>
      <c r="F9" s="43" t="s">
        <v>1</v>
      </c>
      <c r="G9" s="43">
        <v>1</v>
      </c>
      <c r="H9" s="43" t="s">
        <v>48</v>
      </c>
      <c r="I9" s="43" t="s">
        <v>44</v>
      </c>
      <c r="J9" s="43">
        <v>9</v>
      </c>
      <c r="K9" s="43">
        <v>0.16200000000000001</v>
      </c>
      <c r="L9" s="43">
        <v>9</v>
      </c>
      <c r="M9" s="43">
        <v>0.23100000000000001</v>
      </c>
      <c r="N9" s="43">
        <v>0</v>
      </c>
      <c r="O9" s="45">
        <v>2</v>
      </c>
      <c r="P9" s="43" t="s">
        <v>49</v>
      </c>
      <c r="Q9" s="43" t="s">
        <v>41</v>
      </c>
      <c r="R9" s="43">
        <v>3</v>
      </c>
      <c r="S9" s="43">
        <v>9.5000000000000001E-2</v>
      </c>
      <c r="T9" s="43">
        <v>3</v>
      </c>
      <c r="U9" s="43">
        <v>9.8000000000000004E-2</v>
      </c>
      <c r="V9" s="43">
        <v>0</v>
      </c>
      <c r="W9" s="45">
        <v>3</v>
      </c>
      <c r="X9" s="43" t="s">
        <v>43</v>
      </c>
      <c r="Y9" s="43" t="s">
        <v>41</v>
      </c>
      <c r="Z9" s="43">
        <v>4</v>
      </c>
      <c r="AA9" s="43">
        <v>0.18099999999999999</v>
      </c>
      <c r="AB9" s="43">
        <v>4</v>
      </c>
      <c r="AC9" s="43">
        <v>0.16500000000000001</v>
      </c>
      <c r="AD9" s="43">
        <v>0</v>
      </c>
      <c r="AE9" s="45">
        <v>4</v>
      </c>
      <c r="AF9" s="43" t="s">
        <v>45</v>
      </c>
      <c r="AG9" s="43" t="s">
        <v>44</v>
      </c>
      <c r="AH9" s="43">
        <v>7</v>
      </c>
      <c r="AI9" s="43">
        <v>0.15</v>
      </c>
      <c r="AJ9" s="43">
        <v>7</v>
      </c>
      <c r="AK9" s="43">
        <v>0.161</v>
      </c>
      <c r="AL9" s="43">
        <v>0</v>
      </c>
      <c r="AM9" s="43">
        <v>0</v>
      </c>
      <c r="AN9" s="40" t="str">
        <f>IF((N9+V9+AD9+AL9=0), "WRONG!","ok")</f>
        <v>WRONG!</v>
      </c>
    </row>
    <row r="10" spans="1:41" x14ac:dyDescent="0.3">
      <c r="A10" t="s">
        <v>57</v>
      </c>
      <c r="B10" t="s">
        <v>55</v>
      </c>
      <c r="C10" s="9">
        <v>41457</v>
      </c>
      <c r="D10" s="12">
        <v>0.246</v>
      </c>
      <c r="E10" s="12">
        <v>0.27900000000000003</v>
      </c>
      <c r="F10" s="1" t="s">
        <v>1</v>
      </c>
      <c r="G10" s="1">
        <v>1</v>
      </c>
      <c r="H10" s="1" t="s">
        <v>46</v>
      </c>
      <c r="I10" s="1" t="s">
        <v>41</v>
      </c>
      <c r="J10" s="1">
        <v>4</v>
      </c>
      <c r="K10" s="1">
        <v>0.16800000000000001</v>
      </c>
      <c r="L10" s="1">
        <v>4</v>
      </c>
      <c r="M10" s="1">
        <v>0.2</v>
      </c>
      <c r="N10" s="1">
        <v>0</v>
      </c>
      <c r="O10" s="2">
        <v>2</v>
      </c>
      <c r="P10" s="1" t="s">
        <v>49</v>
      </c>
      <c r="Q10" s="1" t="s">
        <v>41</v>
      </c>
      <c r="R10" s="1">
        <v>6</v>
      </c>
      <c r="S10" s="1">
        <v>0.184</v>
      </c>
      <c r="T10" s="1">
        <v>6</v>
      </c>
      <c r="U10" s="1">
        <v>0.188</v>
      </c>
      <c r="V10" s="1">
        <v>0</v>
      </c>
      <c r="W10" s="2">
        <v>3</v>
      </c>
      <c r="X10" s="1" t="s">
        <v>48</v>
      </c>
      <c r="Y10" s="1" t="s">
        <v>44</v>
      </c>
      <c r="Z10" s="1">
        <v>5</v>
      </c>
      <c r="AA10" s="1">
        <v>0.20300000000000001</v>
      </c>
      <c r="AB10" s="1">
        <v>0</v>
      </c>
      <c r="AC10" s="1">
        <v>0.104</v>
      </c>
      <c r="AD10" s="1">
        <v>3</v>
      </c>
      <c r="AE10" s="2">
        <v>4</v>
      </c>
      <c r="AF10" s="1" t="s">
        <v>47</v>
      </c>
      <c r="AG10" s="1" t="s">
        <v>44</v>
      </c>
      <c r="AH10" s="1">
        <v>5</v>
      </c>
      <c r="AI10" s="1">
        <v>0.17499999999999999</v>
      </c>
      <c r="AJ10" s="1">
        <v>5</v>
      </c>
      <c r="AK10" s="1">
        <v>0.152</v>
      </c>
      <c r="AL10" s="1">
        <v>0</v>
      </c>
      <c r="AM10" s="1">
        <v>5.2999999999999999E-2</v>
      </c>
      <c r="AN10" t="str">
        <f t="shared" si="0"/>
        <v>ok</v>
      </c>
    </row>
    <row r="11" spans="1:41" s="40" customFormat="1" x14ac:dyDescent="0.3">
      <c r="A11" s="40" t="s">
        <v>85</v>
      </c>
      <c r="B11" s="40" t="s">
        <v>15</v>
      </c>
      <c r="C11" s="41">
        <v>41457</v>
      </c>
      <c r="D11" s="42">
        <v>1.5289999999999999</v>
      </c>
      <c r="E11" s="42">
        <v>1.5229999999999999</v>
      </c>
      <c r="F11" s="43" t="s">
        <v>1</v>
      </c>
      <c r="G11" s="43">
        <v>1</v>
      </c>
      <c r="H11" s="43" t="s">
        <v>49</v>
      </c>
      <c r="I11" s="43" t="s">
        <v>41</v>
      </c>
      <c r="J11" s="43">
        <v>4</v>
      </c>
      <c r="K11" s="43">
        <v>0.129</v>
      </c>
      <c r="L11" s="43">
        <v>4</v>
      </c>
      <c r="M11" s="43">
        <v>0.157</v>
      </c>
      <c r="N11" s="43">
        <v>0</v>
      </c>
      <c r="O11" s="45">
        <v>2</v>
      </c>
      <c r="P11" s="43" t="s">
        <v>51</v>
      </c>
      <c r="Q11" s="43" t="s">
        <v>44</v>
      </c>
      <c r="R11" s="43">
        <v>4</v>
      </c>
      <c r="S11" s="43">
        <v>0.18</v>
      </c>
      <c r="T11" s="43">
        <v>4</v>
      </c>
      <c r="U11" s="43">
        <v>0.16700000000000001</v>
      </c>
      <c r="V11" s="43">
        <v>0</v>
      </c>
      <c r="W11" s="45">
        <v>3</v>
      </c>
      <c r="X11" s="43" t="s">
        <v>50</v>
      </c>
      <c r="Y11" s="43" t="s">
        <v>41</v>
      </c>
      <c r="Z11" s="43">
        <v>4</v>
      </c>
      <c r="AA11" s="43">
        <v>0.13900000000000001</v>
      </c>
      <c r="AB11" s="43">
        <v>4</v>
      </c>
      <c r="AC11" s="43">
        <v>0.14000000000000001</v>
      </c>
      <c r="AD11" s="43">
        <v>0</v>
      </c>
      <c r="AE11" s="45">
        <v>4</v>
      </c>
      <c r="AF11" s="43" t="s">
        <v>48</v>
      </c>
      <c r="AG11" s="43" t="s">
        <v>44</v>
      </c>
      <c r="AH11" s="43">
        <v>3</v>
      </c>
      <c r="AI11" s="43">
        <v>4.4999999999999998E-2</v>
      </c>
      <c r="AJ11" s="43">
        <v>3</v>
      </c>
      <c r="AK11" s="43">
        <v>6.0999999999999999E-2</v>
      </c>
      <c r="AL11" s="43">
        <v>0</v>
      </c>
      <c r="AM11" s="43">
        <v>3.4000000000000002E-2</v>
      </c>
      <c r="AN11" s="40" t="str">
        <f t="shared" si="0"/>
        <v>WRONG!</v>
      </c>
    </row>
    <row r="12" spans="1:41" s="40" customFormat="1" x14ac:dyDescent="0.3">
      <c r="A12" s="40" t="s">
        <v>62</v>
      </c>
      <c r="B12" s="40" t="s">
        <v>55</v>
      </c>
      <c r="C12" s="41">
        <v>41458</v>
      </c>
      <c r="D12" s="42">
        <v>0.36799999999999999</v>
      </c>
      <c r="E12" s="42">
        <v>0.35899999999999999</v>
      </c>
      <c r="F12" s="43" t="s">
        <v>61</v>
      </c>
      <c r="G12" s="43">
        <v>1</v>
      </c>
      <c r="H12" s="43" t="s">
        <v>46</v>
      </c>
      <c r="I12" s="43" t="s">
        <v>41</v>
      </c>
      <c r="J12" s="43">
        <v>4</v>
      </c>
      <c r="K12" s="43">
        <v>0.3</v>
      </c>
      <c r="L12" s="43">
        <v>4</v>
      </c>
      <c r="M12" s="43">
        <v>0.255</v>
      </c>
      <c r="N12" s="43">
        <v>0</v>
      </c>
      <c r="O12" s="45">
        <v>2</v>
      </c>
      <c r="P12" s="43" t="s">
        <v>49</v>
      </c>
      <c r="Q12" s="43" t="s">
        <v>41</v>
      </c>
      <c r="R12" s="43">
        <v>3</v>
      </c>
      <c r="S12" s="43">
        <v>0.35</v>
      </c>
      <c r="T12" s="43">
        <v>3</v>
      </c>
      <c r="U12" s="43">
        <v>0.36</v>
      </c>
      <c r="V12" s="43">
        <v>0</v>
      </c>
      <c r="W12" s="45">
        <v>3</v>
      </c>
      <c r="X12" s="43" t="s">
        <v>47</v>
      </c>
      <c r="Y12" s="43" t="s">
        <v>44</v>
      </c>
      <c r="Z12" s="43">
        <v>3</v>
      </c>
      <c r="AA12" s="43">
        <v>0.184</v>
      </c>
      <c r="AB12" s="43">
        <v>3</v>
      </c>
      <c r="AC12" s="43">
        <v>0.19</v>
      </c>
      <c r="AD12" s="43">
        <v>0</v>
      </c>
      <c r="AE12" s="45">
        <v>4</v>
      </c>
      <c r="AF12" s="43" t="s">
        <v>48</v>
      </c>
      <c r="AG12" s="43" t="s">
        <v>44</v>
      </c>
      <c r="AH12" s="43">
        <v>3</v>
      </c>
      <c r="AI12" s="43">
        <v>0.20799999999999999</v>
      </c>
      <c r="AJ12" s="43">
        <v>3</v>
      </c>
      <c r="AK12" s="43">
        <v>0.182</v>
      </c>
      <c r="AL12" s="43">
        <v>0</v>
      </c>
      <c r="AM12" s="43">
        <v>2E-3</v>
      </c>
      <c r="AN12" s="40" t="str">
        <f t="shared" si="0"/>
        <v>WRONG!</v>
      </c>
    </row>
    <row r="13" spans="1:41" x14ac:dyDescent="0.3">
      <c r="A13" t="s">
        <v>58</v>
      </c>
      <c r="B13" t="s">
        <v>15</v>
      </c>
      <c r="C13" s="9">
        <v>41458</v>
      </c>
      <c r="D13" s="12">
        <v>0.84699999999999998</v>
      </c>
      <c r="E13" s="12">
        <v>1.085</v>
      </c>
      <c r="F13" s="1" t="s">
        <v>61</v>
      </c>
      <c r="G13" s="1">
        <v>1</v>
      </c>
      <c r="H13" s="1" t="s">
        <v>48</v>
      </c>
      <c r="I13" s="1" t="s">
        <v>44</v>
      </c>
      <c r="J13" s="1">
        <v>5</v>
      </c>
      <c r="K13" s="1">
        <v>0.32600000000000001</v>
      </c>
      <c r="L13" s="1">
        <v>5</v>
      </c>
      <c r="M13" s="1">
        <v>0.32700000000000001</v>
      </c>
      <c r="N13" s="1">
        <v>0</v>
      </c>
      <c r="O13" s="2">
        <v>2</v>
      </c>
      <c r="P13" s="1" t="s">
        <v>49</v>
      </c>
      <c r="Q13" s="1" t="s">
        <v>41</v>
      </c>
      <c r="R13" s="1">
        <v>3</v>
      </c>
      <c r="S13" s="1">
        <v>0.26300000000000001</v>
      </c>
      <c r="T13" s="1">
        <v>1</v>
      </c>
      <c r="U13" s="1">
        <v>0.16</v>
      </c>
      <c r="V13" s="1">
        <v>2</v>
      </c>
      <c r="W13" s="2">
        <v>3</v>
      </c>
      <c r="X13" s="1" t="s">
        <v>50</v>
      </c>
      <c r="Y13" s="1" t="s">
        <v>41</v>
      </c>
      <c r="Z13" s="1">
        <v>6</v>
      </c>
      <c r="AA13" s="1">
        <v>0.29299999999999998</v>
      </c>
      <c r="AB13" s="1">
        <v>6</v>
      </c>
      <c r="AC13" s="1">
        <v>0.26600000000000001</v>
      </c>
      <c r="AD13" s="1">
        <v>0</v>
      </c>
      <c r="AE13" s="2">
        <v>4</v>
      </c>
      <c r="AF13" s="1" t="s">
        <v>51</v>
      </c>
      <c r="AG13" s="1" t="s">
        <v>44</v>
      </c>
      <c r="AH13" s="1">
        <v>3</v>
      </c>
      <c r="AI13" s="1">
        <v>0.27400000000000002</v>
      </c>
      <c r="AJ13" s="1">
        <v>0</v>
      </c>
      <c r="AK13" s="1">
        <v>6.3E-2</v>
      </c>
      <c r="AL13" s="1">
        <v>4</v>
      </c>
      <c r="AM13" s="1">
        <v>4.2000000000000003E-2</v>
      </c>
      <c r="AN13" t="str">
        <f t="shared" si="0"/>
        <v>ok</v>
      </c>
    </row>
    <row r="14" spans="1:41" x14ac:dyDescent="0.3">
      <c r="A14" t="s">
        <v>59</v>
      </c>
      <c r="B14" t="s">
        <v>15</v>
      </c>
      <c r="C14" s="9">
        <v>41458</v>
      </c>
      <c r="D14" s="12">
        <v>0.93200000000000005</v>
      </c>
      <c r="E14" s="12">
        <v>1.1339999999999999</v>
      </c>
      <c r="F14" s="1" t="s">
        <v>61</v>
      </c>
      <c r="G14" s="1">
        <v>1</v>
      </c>
      <c r="H14" s="1" t="s">
        <v>43</v>
      </c>
      <c r="I14" s="1" t="s">
        <v>41</v>
      </c>
      <c r="J14" s="1">
        <v>3</v>
      </c>
      <c r="K14" s="1">
        <v>0.20399999999999999</v>
      </c>
      <c r="L14" s="1">
        <v>0</v>
      </c>
      <c r="M14" s="1">
        <v>0.127</v>
      </c>
      <c r="N14" s="1">
        <v>3</v>
      </c>
      <c r="O14" s="2">
        <v>2</v>
      </c>
      <c r="P14" s="1" t="s">
        <v>45</v>
      </c>
      <c r="Q14" s="1" t="s">
        <v>44</v>
      </c>
      <c r="R14" s="1">
        <v>3</v>
      </c>
      <c r="S14" s="1">
        <v>0.27300000000000002</v>
      </c>
      <c r="T14" s="1">
        <v>0</v>
      </c>
      <c r="U14" s="1">
        <v>0.124</v>
      </c>
      <c r="V14" s="1">
        <v>4</v>
      </c>
      <c r="W14" s="2">
        <v>3</v>
      </c>
      <c r="X14" s="1" t="s">
        <v>51</v>
      </c>
      <c r="Y14" s="1" t="s">
        <v>44</v>
      </c>
      <c r="Z14" s="1">
        <v>3</v>
      </c>
      <c r="AA14" s="1">
        <v>0.32700000000000001</v>
      </c>
      <c r="AB14" s="1">
        <v>3</v>
      </c>
      <c r="AC14" s="1">
        <v>0.26300000000000001</v>
      </c>
      <c r="AD14" s="1">
        <v>0</v>
      </c>
      <c r="AE14" s="2">
        <v>4</v>
      </c>
      <c r="AF14" s="1" t="s">
        <v>50</v>
      </c>
      <c r="AG14" s="1" t="s">
        <v>41</v>
      </c>
      <c r="AH14" s="1">
        <v>4</v>
      </c>
      <c r="AI14" s="1">
        <v>0.313</v>
      </c>
      <c r="AJ14" s="1">
        <v>4</v>
      </c>
      <c r="AK14" s="1">
        <v>0.29599999999999999</v>
      </c>
      <c r="AL14" s="1">
        <v>0</v>
      </c>
      <c r="AM14" s="1">
        <v>4.5999999999999999E-2</v>
      </c>
      <c r="AN14" t="str">
        <f t="shared" si="0"/>
        <v>ok</v>
      </c>
    </row>
    <row r="15" spans="1:41" s="40" customFormat="1" x14ac:dyDescent="0.3">
      <c r="A15" s="40" t="s">
        <v>60</v>
      </c>
      <c r="B15" s="40" t="s">
        <v>15</v>
      </c>
      <c r="C15" s="41">
        <v>41458</v>
      </c>
      <c r="D15" s="42">
        <v>1.34</v>
      </c>
      <c r="E15" s="42">
        <v>1.337</v>
      </c>
      <c r="F15" s="43" t="s">
        <v>61</v>
      </c>
      <c r="G15" s="43">
        <v>1</v>
      </c>
      <c r="H15" s="43" t="s">
        <v>45</v>
      </c>
      <c r="I15" s="43" t="s">
        <v>44</v>
      </c>
      <c r="J15" s="43">
        <v>3</v>
      </c>
      <c r="K15" s="43">
        <v>0.23799999999999999</v>
      </c>
      <c r="L15" s="43">
        <v>3</v>
      </c>
      <c r="M15" s="43">
        <v>0.185</v>
      </c>
      <c r="N15" s="43">
        <v>0</v>
      </c>
      <c r="O15" s="45">
        <v>2</v>
      </c>
      <c r="P15" s="43" t="s">
        <v>46</v>
      </c>
      <c r="Q15" s="43" t="s">
        <v>41</v>
      </c>
      <c r="R15" s="43">
        <v>2</v>
      </c>
      <c r="S15" s="43">
        <v>0.123</v>
      </c>
      <c r="T15" s="43">
        <v>2</v>
      </c>
      <c r="U15" s="43">
        <v>0.126</v>
      </c>
      <c r="V15" s="43">
        <v>0</v>
      </c>
      <c r="W15" s="45">
        <v>3</v>
      </c>
      <c r="X15" s="43" t="s">
        <v>47</v>
      </c>
      <c r="Y15" s="43" t="s">
        <v>44</v>
      </c>
      <c r="Z15" s="43">
        <v>2</v>
      </c>
      <c r="AA15" s="43">
        <v>0.154</v>
      </c>
      <c r="AB15" s="43">
        <v>2</v>
      </c>
      <c r="AC15" s="43">
        <v>0.13400000000000001</v>
      </c>
      <c r="AD15" s="43">
        <v>0</v>
      </c>
      <c r="AE15" s="45">
        <v>4</v>
      </c>
      <c r="AF15" s="43" t="s">
        <v>43</v>
      </c>
      <c r="AG15" s="43" t="s">
        <v>41</v>
      </c>
      <c r="AH15" s="43">
        <v>3</v>
      </c>
      <c r="AI15" s="43">
        <v>0.23599999999999999</v>
      </c>
      <c r="AJ15" s="43">
        <v>3</v>
      </c>
      <c r="AK15" s="43">
        <v>0.24199999999999999</v>
      </c>
      <c r="AL15" s="43">
        <v>0</v>
      </c>
      <c r="AM15" s="43">
        <v>0</v>
      </c>
      <c r="AN15" s="40" t="str">
        <f t="shared" si="0"/>
        <v>WRONG!</v>
      </c>
    </row>
    <row r="16" spans="1:41" s="32" customFormat="1" x14ac:dyDescent="0.3">
      <c r="A16" s="32" t="s">
        <v>64</v>
      </c>
      <c r="B16" s="32" t="s">
        <v>15</v>
      </c>
      <c r="C16" s="33">
        <v>41459</v>
      </c>
      <c r="D16" s="34">
        <v>1.36</v>
      </c>
      <c r="E16" s="34">
        <v>1.3759999999999999</v>
      </c>
      <c r="F16" s="35" t="s">
        <v>61</v>
      </c>
      <c r="G16" s="35">
        <v>1</v>
      </c>
      <c r="H16" s="35" t="s">
        <v>74</v>
      </c>
      <c r="I16" s="35" t="s">
        <v>41</v>
      </c>
      <c r="J16" s="35">
        <v>4</v>
      </c>
      <c r="K16" s="35">
        <v>0.40100000000000002</v>
      </c>
      <c r="L16" s="35">
        <v>4</v>
      </c>
      <c r="M16" s="35">
        <v>0.32800000000000001</v>
      </c>
      <c r="N16" s="35">
        <v>0</v>
      </c>
      <c r="O16" s="36">
        <v>2</v>
      </c>
      <c r="P16" s="35" t="s">
        <v>78</v>
      </c>
      <c r="Q16" s="35" t="s">
        <v>44</v>
      </c>
      <c r="R16" s="35">
        <v>3</v>
      </c>
      <c r="S16" s="35">
        <v>0.35</v>
      </c>
      <c r="T16" s="35">
        <v>0</v>
      </c>
      <c r="U16" s="35">
        <v>0.218</v>
      </c>
      <c r="V16" s="35">
        <v>3</v>
      </c>
      <c r="W16" s="36">
        <v>3</v>
      </c>
      <c r="X16" s="35" t="s">
        <v>81</v>
      </c>
      <c r="Y16" s="35" t="s">
        <v>44</v>
      </c>
      <c r="Z16" s="35">
        <v>3</v>
      </c>
      <c r="AA16" s="35">
        <v>0.27600000000000002</v>
      </c>
      <c r="AB16" s="35">
        <v>2</v>
      </c>
      <c r="AC16" s="35">
        <v>0.222</v>
      </c>
      <c r="AD16" s="35">
        <v>0</v>
      </c>
      <c r="AE16" s="36">
        <v>4</v>
      </c>
      <c r="AF16" s="35" t="s">
        <v>79</v>
      </c>
      <c r="AG16" s="35" t="s">
        <v>41</v>
      </c>
      <c r="AH16" s="35">
        <v>2</v>
      </c>
      <c r="AI16" s="35">
        <v>0.248</v>
      </c>
      <c r="AJ16" s="35">
        <v>0</v>
      </c>
      <c r="AK16" s="35">
        <v>0.20799999999999999</v>
      </c>
      <c r="AL16" s="35">
        <v>2</v>
      </c>
      <c r="AM16" s="35">
        <v>2.1000000000000001E-2</v>
      </c>
      <c r="AN16" s="32" t="str">
        <f t="shared" si="0"/>
        <v>ok</v>
      </c>
    </row>
    <row r="17" spans="1:40" s="32" customFormat="1" x14ac:dyDescent="0.3">
      <c r="A17" s="32" t="s">
        <v>65</v>
      </c>
      <c r="B17" s="32" t="s">
        <v>15</v>
      </c>
      <c r="C17" s="33">
        <v>41459</v>
      </c>
      <c r="D17" s="34">
        <v>1.0089999999999999</v>
      </c>
      <c r="E17" s="34">
        <v>0.98599999999999999</v>
      </c>
      <c r="F17" s="35" t="s">
        <v>61</v>
      </c>
      <c r="G17" s="35">
        <v>1</v>
      </c>
      <c r="H17" s="35" t="s">
        <v>76</v>
      </c>
      <c r="I17" s="35" t="s">
        <v>44</v>
      </c>
      <c r="J17" s="35">
        <v>3</v>
      </c>
      <c r="K17" s="35">
        <v>0.34599999999999997</v>
      </c>
      <c r="L17" s="35">
        <v>3</v>
      </c>
      <c r="M17" s="35">
        <v>0.29499999999999998</v>
      </c>
      <c r="N17" s="35">
        <v>0</v>
      </c>
      <c r="O17" s="36">
        <v>2</v>
      </c>
      <c r="P17" s="35" t="s">
        <v>79</v>
      </c>
      <c r="Q17" s="35" t="s">
        <v>41</v>
      </c>
      <c r="R17" s="35">
        <v>3</v>
      </c>
      <c r="S17" s="35">
        <v>0.28799999999999998</v>
      </c>
      <c r="T17" s="35">
        <v>2</v>
      </c>
      <c r="U17" s="35">
        <v>0.23300000000000001</v>
      </c>
      <c r="V17" s="35">
        <v>1</v>
      </c>
      <c r="W17" s="36">
        <v>3</v>
      </c>
      <c r="X17" s="35" t="s">
        <v>77</v>
      </c>
      <c r="Y17" s="35" t="s">
        <v>41</v>
      </c>
      <c r="Z17" s="35">
        <v>3</v>
      </c>
      <c r="AA17" s="35">
        <v>0.36799999999999999</v>
      </c>
      <c r="AB17" s="35">
        <v>0</v>
      </c>
      <c r="AC17" s="35">
        <v>0.29399999999999998</v>
      </c>
      <c r="AD17" s="35">
        <v>0</v>
      </c>
      <c r="AE17" s="36">
        <v>4</v>
      </c>
      <c r="AF17" s="35" t="s">
        <v>81</v>
      </c>
      <c r="AG17" s="35" t="s">
        <v>44</v>
      </c>
      <c r="AH17" s="35">
        <v>3</v>
      </c>
      <c r="AI17" s="35">
        <v>0.34699999999999998</v>
      </c>
      <c r="AJ17" s="35">
        <v>0</v>
      </c>
      <c r="AK17" s="35">
        <v>0.193</v>
      </c>
      <c r="AL17" s="35">
        <v>0</v>
      </c>
      <c r="AM17" s="35">
        <v>2E-3</v>
      </c>
      <c r="AN17" s="32" t="str">
        <f t="shared" si="0"/>
        <v>ok</v>
      </c>
    </row>
    <row r="18" spans="1:40" s="40" customFormat="1" x14ac:dyDescent="0.3">
      <c r="A18" s="40" t="s">
        <v>53</v>
      </c>
      <c r="B18" s="40" t="s">
        <v>15</v>
      </c>
      <c r="C18" s="41">
        <v>41459</v>
      </c>
      <c r="D18" s="42">
        <v>1.62</v>
      </c>
      <c r="E18" s="46">
        <v>1.589</v>
      </c>
      <c r="F18" s="43" t="s">
        <v>61</v>
      </c>
      <c r="G18" s="43">
        <v>1</v>
      </c>
      <c r="H18" s="43" t="s">
        <v>77</v>
      </c>
      <c r="I18" s="43" t="s">
        <v>41</v>
      </c>
      <c r="J18" s="43">
        <v>2</v>
      </c>
      <c r="K18" s="43">
        <v>0.33500000000000002</v>
      </c>
      <c r="L18" s="43">
        <v>3</v>
      </c>
      <c r="M18" s="43">
        <v>0.32400000000000001</v>
      </c>
      <c r="N18" s="43">
        <v>0</v>
      </c>
      <c r="O18" s="45">
        <v>2</v>
      </c>
      <c r="P18" s="43" t="s">
        <v>80</v>
      </c>
      <c r="Q18" s="43" t="s">
        <v>41</v>
      </c>
      <c r="R18" s="43">
        <v>3</v>
      </c>
      <c r="S18" s="43">
        <v>0.26800000000000002</v>
      </c>
      <c r="T18" s="43">
        <v>3</v>
      </c>
      <c r="U18" s="43">
        <v>0.21099999999999999</v>
      </c>
      <c r="V18" s="43">
        <v>0</v>
      </c>
      <c r="W18" s="45">
        <v>3</v>
      </c>
      <c r="X18" s="43" t="s">
        <v>75</v>
      </c>
      <c r="Y18" s="43" t="s">
        <v>44</v>
      </c>
      <c r="Z18" s="43">
        <v>3</v>
      </c>
      <c r="AA18" s="43">
        <v>0.28899999999999998</v>
      </c>
      <c r="AB18" s="43">
        <v>3</v>
      </c>
      <c r="AC18" s="43">
        <v>0.27</v>
      </c>
      <c r="AD18" s="43">
        <v>0</v>
      </c>
      <c r="AE18" s="45">
        <v>4</v>
      </c>
      <c r="AF18" s="43" t="s">
        <v>76</v>
      </c>
      <c r="AG18" s="43" t="s">
        <v>44</v>
      </c>
      <c r="AH18" s="43">
        <v>3</v>
      </c>
      <c r="AI18" s="43">
        <v>0.19400000000000001</v>
      </c>
      <c r="AJ18" s="43">
        <v>3</v>
      </c>
      <c r="AK18" s="43">
        <v>0.17199999999999999</v>
      </c>
      <c r="AL18" s="43">
        <v>0</v>
      </c>
      <c r="AM18" s="43">
        <v>0</v>
      </c>
      <c r="AN18" s="40" t="str">
        <f t="shared" si="0"/>
        <v>WRONG!</v>
      </c>
    </row>
    <row r="19" spans="1:40" s="40" customFormat="1" x14ac:dyDescent="0.3">
      <c r="A19" s="40" t="s">
        <v>66</v>
      </c>
      <c r="B19" s="40" t="s">
        <v>15</v>
      </c>
      <c r="C19" s="41">
        <v>41459</v>
      </c>
      <c r="D19" s="42">
        <v>0.996</v>
      </c>
      <c r="E19" s="42">
        <v>0.98099999999999998</v>
      </c>
      <c r="F19" s="43" t="s">
        <v>61</v>
      </c>
      <c r="G19" s="43">
        <v>1</v>
      </c>
      <c r="H19" s="43" t="s">
        <v>75</v>
      </c>
      <c r="I19" s="43" t="s">
        <v>44</v>
      </c>
      <c r="J19" s="43">
        <v>3</v>
      </c>
      <c r="K19" s="43">
        <v>0.40899999999999997</v>
      </c>
      <c r="L19" s="43">
        <v>3</v>
      </c>
      <c r="M19" s="43">
        <v>0.35899999999999999</v>
      </c>
      <c r="N19" s="43">
        <v>0</v>
      </c>
      <c r="O19" s="45">
        <v>2</v>
      </c>
      <c r="P19" s="43" t="s">
        <v>78</v>
      </c>
      <c r="Q19" s="43" t="s">
        <v>44</v>
      </c>
      <c r="R19" s="43">
        <v>3</v>
      </c>
      <c r="S19" s="43">
        <v>0.20200000000000001</v>
      </c>
      <c r="T19" s="43">
        <v>3</v>
      </c>
      <c r="U19" s="43">
        <v>0.17599999999999999</v>
      </c>
      <c r="V19" s="43">
        <v>0</v>
      </c>
      <c r="W19" s="45">
        <v>3</v>
      </c>
      <c r="X19" s="43" t="s">
        <v>80</v>
      </c>
      <c r="Y19" s="43" t="s">
        <v>41</v>
      </c>
      <c r="Z19" s="43">
        <v>3</v>
      </c>
      <c r="AA19" s="43">
        <v>0.56299999999999994</v>
      </c>
      <c r="AB19" s="43">
        <v>3</v>
      </c>
      <c r="AC19" s="43">
        <v>0.40200000000000002</v>
      </c>
      <c r="AD19" s="43">
        <v>0</v>
      </c>
      <c r="AE19" s="45">
        <v>4</v>
      </c>
      <c r="AF19" s="43" t="s">
        <v>74</v>
      </c>
      <c r="AG19" s="43" t="s">
        <v>41</v>
      </c>
      <c r="AH19" s="43">
        <v>3</v>
      </c>
      <c r="AI19" s="43">
        <v>0.38700000000000001</v>
      </c>
      <c r="AJ19" s="43">
        <v>3</v>
      </c>
      <c r="AK19" s="43">
        <v>0.34200000000000003</v>
      </c>
      <c r="AL19" s="43">
        <v>0</v>
      </c>
      <c r="AM19" s="43">
        <v>0</v>
      </c>
      <c r="AN19" s="40" t="str">
        <f t="shared" si="0"/>
        <v>WRONG!</v>
      </c>
    </row>
    <row r="20" spans="1:40" s="32" customFormat="1" x14ac:dyDescent="0.3">
      <c r="A20" s="32" t="s">
        <v>58</v>
      </c>
      <c r="B20" s="32" t="s">
        <v>15</v>
      </c>
      <c r="C20" s="33">
        <v>41460</v>
      </c>
      <c r="D20" s="34">
        <v>1</v>
      </c>
      <c r="E20" s="34">
        <v>1.206</v>
      </c>
      <c r="F20" s="35" t="s">
        <v>1</v>
      </c>
      <c r="G20" s="35">
        <v>1</v>
      </c>
      <c r="H20" s="35" t="s">
        <v>78</v>
      </c>
      <c r="I20" s="35" t="s">
        <v>44</v>
      </c>
      <c r="J20" s="35">
        <v>3</v>
      </c>
      <c r="K20" s="35">
        <v>0.34899999999999998</v>
      </c>
      <c r="L20" s="35">
        <v>0</v>
      </c>
      <c r="M20" s="35">
        <v>0.27100000000000002</v>
      </c>
      <c r="N20" s="35">
        <v>3</v>
      </c>
      <c r="O20" s="36">
        <v>2</v>
      </c>
      <c r="P20" s="35" t="s">
        <v>81</v>
      </c>
      <c r="Q20" s="35" t="s">
        <v>44</v>
      </c>
      <c r="R20" s="35">
        <v>5</v>
      </c>
      <c r="S20" s="35">
        <v>0.26</v>
      </c>
      <c r="T20" s="35">
        <v>0</v>
      </c>
      <c r="U20" s="35">
        <v>0.13600000000000001</v>
      </c>
      <c r="V20" s="35">
        <v>3</v>
      </c>
      <c r="W20" s="36">
        <v>3</v>
      </c>
      <c r="X20" s="35" t="s">
        <v>79</v>
      </c>
      <c r="Y20" s="35" t="s">
        <v>41</v>
      </c>
      <c r="Z20" s="35">
        <v>4</v>
      </c>
      <c r="AA20" s="35">
        <v>0.189</v>
      </c>
      <c r="AB20" s="35">
        <v>0</v>
      </c>
      <c r="AC20" s="35">
        <v>6.4000000000000001E-2</v>
      </c>
      <c r="AD20" s="35">
        <v>4</v>
      </c>
      <c r="AE20" s="36">
        <v>4</v>
      </c>
      <c r="AF20" s="35" t="s">
        <v>74</v>
      </c>
      <c r="AG20" s="35" t="s">
        <v>41</v>
      </c>
      <c r="AH20" s="35">
        <v>4</v>
      </c>
      <c r="AI20" s="35">
        <v>0.161</v>
      </c>
      <c r="AJ20" s="35">
        <v>0</v>
      </c>
      <c r="AK20" s="35">
        <v>0.115</v>
      </c>
      <c r="AL20" s="35">
        <v>4</v>
      </c>
      <c r="AM20" s="35">
        <v>7.6999999999999999E-2</v>
      </c>
      <c r="AN20" s="32" t="str">
        <f t="shared" si="0"/>
        <v>ok</v>
      </c>
    </row>
    <row r="21" spans="1:40" s="32" customFormat="1" x14ac:dyDescent="0.3">
      <c r="A21" s="32" t="s">
        <v>68</v>
      </c>
      <c r="B21" s="32" t="s">
        <v>15</v>
      </c>
      <c r="C21" s="33">
        <v>41460</v>
      </c>
      <c r="D21" s="34">
        <v>0.70799999999999996</v>
      </c>
      <c r="E21" s="34">
        <v>0.92</v>
      </c>
      <c r="F21" s="35" t="s">
        <v>1</v>
      </c>
      <c r="G21" s="35">
        <v>1</v>
      </c>
      <c r="H21" s="35" t="s">
        <v>79</v>
      </c>
      <c r="I21" s="35" t="s">
        <v>41</v>
      </c>
      <c r="J21" s="35">
        <v>5</v>
      </c>
      <c r="K21" s="35">
        <v>0.219</v>
      </c>
      <c r="L21" s="35">
        <v>3</v>
      </c>
      <c r="M21" s="35">
        <v>0.19900000000000001</v>
      </c>
      <c r="N21" s="35">
        <v>1</v>
      </c>
      <c r="O21" s="36">
        <v>2</v>
      </c>
      <c r="P21" s="35" t="s">
        <v>77</v>
      </c>
      <c r="Q21" s="35" t="s">
        <v>41</v>
      </c>
      <c r="R21" s="35">
        <v>5</v>
      </c>
      <c r="S21" s="35">
        <v>0.26600000000000001</v>
      </c>
      <c r="T21" s="35">
        <v>3</v>
      </c>
      <c r="U21" s="35">
        <v>0.151</v>
      </c>
      <c r="V21" s="35">
        <v>2</v>
      </c>
      <c r="W21" s="36">
        <v>3</v>
      </c>
      <c r="X21" s="35" t="s">
        <v>76</v>
      </c>
      <c r="Y21" s="35" t="s">
        <v>44</v>
      </c>
      <c r="Z21" s="35">
        <v>5</v>
      </c>
      <c r="AA21" s="35">
        <v>0.29899999999999999</v>
      </c>
      <c r="AB21" s="35">
        <v>3</v>
      </c>
      <c r="AC21" s="35">
        <v>0.25800000000000001</v>
      </c>
      <c r="AD21" s="35">
        <v>2</v>
      </c>
      <c r="AE21" s="36">
        <v>4</v>
      </c>
      <c r="AF21" s="35" t="s">
        <v>81</v>
      </c>
      <c r="AG21" s="35" t="s">
        <v>44</v>
      </c>
      <c r="AH21" s="35">
        <v>5</v>
      </c>
      <c r="AI21" s="35">
        <v>0.26100000000000001</v>
      </c>
      <c r="AJ21" s="35">
        <v>0</v>
      </c>
      <c r="AK21" s="35">
        <v>0.108</v>
      </c>
      <c r="AL21" s="35">
        <v>4</v>
      </c>
      <c r="AM21" s="35">
        <v>4.8000000000000001E-2</v>
      </c>
      <c r="AN21" s="32" t="str">
        <f t="shared" si="0"/>
        <v>ok</v>
      </c>
    </row>
    <row r="22" spans="1:40" s="32" customFormat="1" x14ac:dyDescent="0.3">
      <c r="A22" s="32" t="s">
        <v>59</v>
      </c>
      <c r="B22" s="32" t="s">
        <v>15</v>
      </c>
      <c r="C22" s="33">
        <v>41460</v>
      </c>
      <c r="D22" s="34">
        <v>1.038</v>
      </c>
      <c r="E22" s="34">
        <v>1.2849999999999999</v>
      </c>
      <c r="F22" s="35" t="s">
        <v>1</v>
      </c>
      <c r="G22" s="35">
        <v>1</v>
      </c>
      <c r="H22" s="35" t="s">
        <v>76</v>
      </c>
      <c r="I22" s="35" t="s">
        <v>44</v>
      </c>
      <c r="J22" s="35">
        <v>5</v>
      </c>
      <c r="K22" s="35">
        <v>0.25900000000000001</v>
      </c>
      <c r="L22" s="35">
        <v>0</v>
      </c>
      <c r="M22" s="35">
        <v>0.13800000000000001</v>
      </c>
      <c r="N22" s="35">
        <v>4</v>
      </c>
      <c r="O22" s="36">
        <v>2</v>
      </c>
      <c r="P22" s="35" t="s">
        <v>80</v>
      </c>
      <c r="Q22" s="35" t="s">
        <v>44</v>
      </c>
      <c r="R22" s="35">
        <v>1</v>
      </c>
      <c r="S22" s="35">
        <v>0.192</v>
      </c>
      <c r="T22" s="35">
        <v>0</v>
      </c>
      <c r="U22" s="35">
        <v>0.125</v>
      </c>
      <c r="V22" s="35">
        <v>2</v>
      </c>
      <c r="W22" s="36">
        <v>3</v>
      </c>
      <c r="X22" s="35" t="s">
        <v>77</v>
      </c>
      <c r="Y22" s="35" t="s">
        <v>41</v>
      </c>
      <c r="Z22" s="35">
        <v>3</v>
      </c>
      <c r="AA22" s="35">
        <v>0.14099999999999999</v>
      </c>
      <c r="AB22" s="35">
        <v>0</v>
      </c>
      <c r="AC22" s="35">
        <v>5.6000000000000001E-2</v>
      </c>
      <c r="AD22" s="35">
        <v>4</v>
      </c>
      <c r="AE22" s="36">
        <v>4</v>
      </c>
      <c r="AF22" s="35" t="s">
        <v>75</v>
      </c>
      <c r="AG22" s="35" t="s">
        <v>44</v>
      </c>
      <c r="AH22" s="35">
        <v>4</v>
      </c>
      <c r="AI22" s="35">
        <v>0.14000000000000001</v>
      </c>
      <c r="AJ22" s="35">
        <v>0</v>
      </c>
      <c r="AK22" s="35">
        <v>6.6000000000000003E-2</v>
      </c>
      <c r="AL22" s="35">
        <v>4</v>
      </c>
      <c r="AM22" s="35">
        <v>5.3999999999999999E-2</v>
      </c>
      <c r="AN22" s="32" t="str">
        <f t="shared" si="0"/>
        <v>ok</v>
      </c>
    </row>
    <row r="23" spans="1:40" s="40" customFormat="1" x14ac:dyDescent="0.3">
      <c r="A23" s="40" t="s">
        <v>67</v>
      </c>
      <c r="B23" s="40" t="s">
        <v>15</v>
      </c>
      <c r="C23" s="41">
        <v>41460</v>
      </c>
      <c r="D23" s="42">
        <v>1.956</v>
      </c>
      <c r="E23" s="42">
        <v>1.9410000000000001</v>
      </c>
      <c r="F23" s="43" t="s">
        <v>1</v>
      </c>
      <c r="G23" s="43">
        <v>1</v>
      </c>
      <c r="H23" s="43" t="s">
        <v>80</v>
      </c>
      <c r="I23" s="43" t="s">
        <v>41</v>
      </c>
      <c r="J23" s="43">
        <v>1</v>
      </c>
      <c r="K23" s="43">
        <v>0.25700000000000001</v>
      </c>
      <c r="L23" s="43">
        <v>1</v>
      </c>
      <c r="M23" s="43">
        <v>0.26700000000000002</v>
      </c>
      <c r="N23" s="43">
        <v>0</v>
      </c>
      <c r="O23" s="45">
        <v>2</v>
      </c>
      <c r="P23" s="43" t="s">
        <v>78</v>
      </c>
      <c r="Q23" s="43" t="s">
        <v>41</v>
      </c>
      <c r="R23" s="43">
        <v>4</v>
      </c>
      <c r="S23" s="43">
        <v>0.30599999999999999</v>
      </c>
      <c r="T23" s="43">
        <v>4</v>
      </c>
      <c r="U23" s="43">
        <v>0.32100000000000001</v>
      </c>
      <c r="V23" s="43">
        <v>0</v>
      </c>
      <c r="W23" s="45">
        <v>3</v>
      </c>
      <c r="X23" s="43" t="s">
        <v>75</v>
      </c>
      <c r="Y23" s="43" t="s">
        <v>44</v>
      </c>
      <c r="Z23" s="43">
        <v>5</v>
      </c>
      <c r="AA23" s="43">
        <v>0.25700000000000001</v>
      </c>
      <c r="AB23" s="43">
        <v>5</v>
      </c>
      <c r="AC23" s="43">
        <v>0.26800000000000002</v>
      </c>
      <c r="AD23" s="43">
        <v>0</v>
      </c>
      <c r="AE23" s="45">
        <v>4</v>
      </c>
      <c r="AF23" s="43" t="s">
        <v>74</v>
      </c>
      <c r="AG23" s="43" t="s">
        <v>41</v>
      </c>
      <c r="AH23" s="43">
        <v>4</v>
      </c>
      <c r="AI23" s="43">
        <v>0.124</v>
      </c>
      <c r="AJ23" s="43">
        <v>4</v>
      </c>
      <c r="AK23" s="43">
        <v>0.114</v>
      </c>
      <c r="AL23" s="43">
        <v>0</v>
      </c>
      <c r="AM23" s="43">
        <v>1E-3</v>
      </c>
      <c r="AN23" s="40" t="str">
        <f t="shared" si="0"/>
        <v>WRONG!</v>
      </c>
    </row>
    <row r="24" spans="1:40" x14ac:dyDescent="0.3">
      <c r="A24" t="s">
        <v>71</v>
      </c>
      <c r="B24" t="s">
        <v>55</v>
      </c>
      <c r="C24" s="9">
        <v>41461</v>
      </c>
      <c r="D24" s="12">
        <v>0.32500000000000001</v>
      </c>
      <c r="E24" s="12">
        <v>0.38500000000000001</v>
      </c>
      <c r="F24" s="1" t="s">
        <v>1</v>
      </c>
      <c r="G24" s="1">
        <v>1</v>
      </c>
      <c r="H24" s="1" t="s">
        <v>74</v>
      </c>
      <c r="I24" s="1" t="s">
        <v>41</v>
      </c>
      <c r="J24" s="1">
        <v>1</v>
      </c>
      <c r="K24" s="1">
        <v>0.14799999999999999</v>
      </c>
      <c r="L24" s="35">
        <v>1</v>
      </c>
      <c r="M24" s="35">
        <v>0.13800000000000001</v>
      </c>
      <c r="N24" s="35">
        <v>0</v>
      </c>
      <c r="O24" s="2">
        <v>2</v>
      </c>
      <c r="P24" s="1" t="s">
        <v>77</v>
      </c>
      <c r="Q24" s="1" t="s">
        <v>41</v>
      </c>
      <c r="R24" s="1">
        <v>8</v>
      </c>
      <c r="S24" s="1">
        <v>0.25800000000000001</v>
      </c>
      <c r="T24" s="35">
        <v>8</v>
      </c>
      <c r="U24" s="35">
        <v>0.255</v>
      </c>
      <c r="V24" s="35">
        <v>0</v>
      </c>
      <c r="W24" s="2">
        <v>3</v>
      </c>
      <c r="X24" s="1" t="s">
        <v>76</v>
      </c>
      <c r="Y24" s="1" t="s">
        <v>44</v>
      </c>
      <c r="Z24" s="1">
        <v>5</v>
      </c>
      <c r="AA24" s="1">
        <v>0.154</v>
      </c>
      <c r="AB24" s="35">
        <v>0</v>
      </c>
      <c r="AC24" s="35">
        <v>0.08</v>
      </c>
      <c r="AD24" s="35">
        <v>3</v>
      </c>
      <c r="AE24" s="2">
        <v>4</v>
      </c>
      <c r="AF24" s="1" t="s">
        <v>78</v>
      </c>
      <c r="AG24" s="1" t="s">
        <v>44</v>
      </c>
      <c r="AH24" s="1">
        <v>1</v>
      </c>
      <c r="AI24" s="1">
        <v>0.248</v>
      </c>
      <c r="AJ24" s="1">
        <v>0</v>
      </c>
      <c r="AK24" s="1">
        <v>0.17899999999999999</v>
      </c>
      <c r="AL24" s="1">
        <v>3</v>
      </c>
      <c r="AM24" s="1">
        <v>3.9E-2</v>
      </c>
      <c r="AN24" t="str">
        <f t="shared" si="0"/>
        <v>ok</v>
      </c>
    </row>
    <row r="25" spans="1:40" x14ac:dyDescent="0.3">
      <c r="A25" t="s">
        <v>86</v>
      </c>
      <c r="B25" t="s">
        <v>55</v>
      </c>
      <c r="C25" s="9">
        <v>41461</v>
      </c>
      <c r="D25" s="12">
        <v>0.22500000000000001</v>
      </c>
      <c r="E25" s="12">
        <v>0.22600000000000001</v>
      </c>
      <c r="F25" s="1" t="s">
        <v>1</v>
      </c>
      <c r="G25" s="1">
        <v>1</v>
      </c>
      <c r="H25" s="1" t="s">
        <v>75</v>
      </c>
      <c r="I25" s="1" t="s">
        <v>44</v>
      </c>
      <c r="J25" s="1">
        <v>1</v>
      </c>
      <c r="K25" s="1">
        <v>0.122</v>
      </c>
      <c r="L25" s="35">
        <v>1</v>
      </c>
      <c r="M25" s="35">
        <v>0.13400000000000001</v>
      </c>
      <c r="N25" s="35">
        <v>0</v>
      </c>
      <c r="O25" s="2">
        <v>2</v>
      </c>
      <c r="P25" s="1" t="s">
        <v>74</v>
      </c>
      <c r="Q25" s="1" t="s">
        <v>41</v>
      </c>
      <c r="R25" s="1">
        <v>2</v>
      </c>
      <c r="S25" s="1">
        <v>0.30299999999999999</v>
      </c>
      <c r="T25" s="35">
        <v>2</v>
      </c>
      <c r="U25" s="35">
        <v>0.26</v>
      </c>
      <c r="V25" s="35">
        <v>1</v>
      </c>
      <c r="W25" s="2">
        <v>3</v>
      </c>
      <c r="X25" s="1" t="s">
        <v>80</v>
      </c>
      <c r="Y25" s="1" t="s">
        <v>41</v>
      </c>
      <c r="Z25" s="1">
        <v>1</v>
      </c>
      <c r="AA25" s="1">
        <v>0.19500000000000001</v>
      </c>
      <c r="AB25" s="35">
        <v>1</v>
      </c>
      <c r="AC25" s="35">
        <v>0.191</v>
      </c>
      <c r="AD25" s="35">
        <v>0</v>
      </c>
      <c r="AE25" s="2">
        <v>4</v>
      </c>
      <c r="AF25" s="1" t="s">
        <v>78</v>
      </c>
      <c r="AG25" s="1" t="s">
        <v>44</v>
      </c>
      <c r="AH25" s="1">
        <v>1</v>
      </c>
      <c r="AI25" s="1">
        <v>0.19600000000000001</v>
      </c>
      <c r="AJ25" s="1">
        <v>1</v>
      </c>
      <c r="AK25" s="1">
        <v>0.14799999999999999</v>
      </c>
      <c r="AL25" s="1">
        <v>1</v>
      </c>
      <c r="AM25" s="1">
        <v>1.0999999999999999E-2</v>
      </c>
      <c r="AN25" t="str">
        <f t="shared" si="0"/>
        <v>ok</v>
      </c>
    </row>
    <row r="26" spans="1:40" x14ac:dyDescent="0.3">
      <c r="A26" t="s">
        <v>72</v>
      </c>
      <c r="B26" t="s">
        <v>55</v>
      </c>
      <c r="C26" s="9">
        <v>41461</v>
      </c>
      <c r="D26" s="12">
        <v>0.23899999999999999</v>
      </c>
      <c r="E26" s="12">
        <v>0.28399999999999997</v>
      </c>
      <c r="F26" s="1" t="s">
        <v>1</v>
      </c>
      <c r="G26" s="1">
        <v>1</v>
      </c>
      <c r="H26" s="1" t="s">
        <v>76</v>
      </c>
      <c r="I26" s="1" t="s">
        <v>44</v>
      </c>
      <c r="J26" s="1">
        <v>5</v>
      </c>
      <c r="K26" s="1">
        <v>0.16500000000000001</v>
      </c>
      <c r="L26" s="35">
        <v>5</v>
      </c>
      <c r="M26" s="35">
        <v>0.16600000000000001</v>
      </c>
      <c r="N26" s="35">
        <v>0</v>
      </c>
      <c r="O26" s="2">
        <v>2</v>
      </c>
      <c r="P26" s="1" t="s">
        <v>79</v>
      </c>
      <c r="Q26" s="1" t="s">
        <v>41</v>
      </c>
      <c r="R26" s="1">
        <v>2</v>
      </c>
      <c r="S26" s="1">
        <v>0.318</v>
      </c>
      <c r="T26" s="35">
        <v>2</v>
      </c>
      <c r="U26" s="35">
        <v>0.34200000000000003</v>
      </c>
      <c r="V26" s="35">
        <v>0</v>
      </c>
      <c r="W26" s="2">
        <v>3</v>
      </c>
      <c r="X26" s="1" t="s">
        <v>81</v>
      </c>
      <c r="Y26" s="1" t="s">
        <v>44</v>
      </c>
      <c r="Z26" s="1">
        <v>2</v>
      </c>
      <c r="AA26" s="1">
        <v>0.28999999999999998</v>
      </c>
      <c r="AB26" s="35">
        <v>0</v>
      </c>
      <c r="AC26" s="35">
        <v>0.17799999999999999</v>
      </c>
      <c r="AD26" s="35">
        <v>3</v>
      </c>
      <c r="AE26" s="2">
        <v>4</v>
      </c>
      <c r="AF26" s="1" t="s">
        <v>77</v>
      </c>
      <c r="AG26" s="1" t="s">
        <v>41</v>
      </c>
      <c r="AH26" s="1">
        <v>4</v>
      </c>
      <c r="AI26" s="1">
        <v>0.19400000000000001</v>
      </c>
      <c r="AJ26" s="1">
        <v>3</v>
      </c>
      <c r="AK26" s="1">
        <v>0.17499999999999999</v>
      </c>
      <c r="AL26" s="1">
        <v>1</v>
      </c>
      <c r="AM26" s="1">
        <v>2.3E-2</v>
      </c>
      <c r="AN26" t="str">
        <f t="shared" si="0"/>
        <v>ok</v>
      </c>
    </row>
    <row r="27" spans="1:40" x14ac:dyDescent="0.3">
      <c r="A27" t="s">
        <v>73</v>
      </c>
      <c r="B27" t="s">
        <v>15</v>
      </c>
      <c r="C27" s="9">
        <v>41461</v>
      </c>
      <c r="D27" s="12">
        <v>1.863</v>
      </c>
      <c r="E27" s="12">
        <v>1.895</v>
      </c>
      <c r="F27" s="1" t="s">
        <v>1</v>
      </c>
      <c r="G27" s="1">
        <v>1</v>
      </c>
      <c r="H27" s="1" t="s">
        <v>75</v>
      </c>
      <c r="I27" s="1" t="s">
        <v>44</v>
      </c>
      <c r="J27" s="1">
        <v>1</v>
      </c>
      <c r="K27" s="1">
        <v>0.14699999999999999</v>
      </c>
      <c r="L27" s="35">
        <v>0</v>
      </c>
      <c r="M27" s="35">
        <v>5.1999999999999998E-2</v>
      </c>
      <c r="N27" s="35">
        <v>4</v>
      </c>
      <c r="O27" s="2">
        <v>2</v>
      </c>
      <c r="P27" s="1" t="s">
        <v>81</v>
      </c>
      <c r="Q27" s="1" t="s">
        <v>44</v>
      </c>
      <c r="R27" s="1">
        <v>2</v>
      </c>
      <c r="S27" s="1">
        <v>0.152</v>
      </c>
      <c r="T27" s="35">
        <v>2</v>
      </c>
      <c r="U27" s="35">
        <v>0.161</v>
      </c>
      <c r="V27" s="35">
        <v>0</v>
      </c>
      <c r="W27" s="2">
        <v>3</v>
      </c>
      <c r="X27" s="1" t="s">
        <v>79</v>
      </c>
      <c r="Y27" s="1" t="s">
        <v>41</v>
      </c>
      <c r="Z27" s="1">
        <v>3</v>
      </c>
      <c r="AA27" s="1">
        <v>0.32</v>
      </c>
      <c r="AB27" s="35">
        <v>3</v>
      </c>
      <c r="AC27" s="35">
        <v>0.34100000000000003</v>
      </c>
      <c r="AD27" s="35">
        <v>0</v>
      </c>
      <c r="AE27" s="2">
        <v>4</v>
      </c>
      <c r="AF27" s="1" t="s">
        <v>80</v>
      </c>
      <c r="AG27" s="1" t="s">
        <v>41</v>
      </c>
      <c r="AH27" s="1">
        <v>1</v>
      </c>
      <c r="AI27" s="1">
        <v>0.183</v>
      </c>
      <c r="AJ27" s="1">
        <v>1</v>
      </c>
      <c r="AK27" s="1">
        <v>0.19500000000000001</v>
      </c>
      <c r="AL27" s="1">
        <v>0</v>
      </c>
      <c r="AM27" s="1">
        <v>3.4000000000000002E-2</v>
      </c>
      <c r="AN27" t="str">
        <f t="shared" si="0"/>
        <v>ok</v>
      </c>
    </row>
    <row r="28" spans="1:40" x14ac:dyDescent="0.3">
      <c r="A28" t="s">
        <v>68</v>
      </c>
      <c r="B28" t="s">
        <v>15</v>
      </c>
      <c r="C28" s="9">
        <v>41462</v>
      </c>
      <c r="D28" s="12">
        <v>0.86099999999999999</v>
      </c>
      <c r="E28" s="12">
        <v>1.0109999999999999</v>
      </c>
      <c r="F28" s="1" t="s">
        <v>61</v>
      </c>
      <c r="G28" s="1">
        <v>1</v>
      </c>
      <c r="H28" s="1" t="s">
        <v>47</v>
      </c>
      <c r="I28" s="1" t="s">
        <v>44</v>
      </c>
      <c r="J28" s="1">
        <v>2</v>
      </c>
      <c r="K28" s="1">
        <v>0.34699999999999998</v>
      </c>
      <c r="L28" s="35">
        <v>0</v>
      </c>
      <c r="M28" s="35">
        <v>0.22</v>
      </c>
      <c r="N28" s="35">
        <v>3</v>
      </c>
      <c r="O28" s="2">
        <v>2</v>
      </c>
      <c r="P28" s="1" t="s">
        <v>50</v>
      </c>
      <c r="Q28" s="1" t="s">
        <v>41</v>
      </c>
      <c r="R28" s="1">
        <v>2</v>
      </c>
      <c r="S28" s="1">
        <v>0.20899999999999999</v>
      </c>
      <c r="T28" s="35">
        <v>1</v>
      </c>
      <c r="U28" s="35">
        <v>0.122</v>
      </c>
      <c r="V28" s="35">
        <v>2</v>
      </c>
      <c r="W28" s="2">
        <v>3</v>
      </c>
      <c r="X28" s="1" t="s">
        <v>51</v>
      </c>
      <c r="Y28" s="1" t="s">
        <v>44</v>
      </c>
      <c r="Z28" s="1">
        <v>3</v>
      </c>
      <c r="AA28" s="1">
        <v>0.27900000000000003</v>
      </c>
      <c r="AB28" s="35">
        <v>3</v>
      </c>
      <c r="AC28" s="35">
        <v>0.28199999999999997</v>
      </c>
      <c r="AD28" s="35">
        <v>0</v>
      </c>
      <c r="AE28" s="2">
        <v>4</v>
      </c>
      <c r="AF28" s="1" t="s">
        <v>46</v>
      </c>
      <c r="AG28" s="1" t="s">
        <v>41</v>
      </c>
      <c r="AH28">
        <v>3</v>
      </c>
      <c r="AI28" s="1">
        <v>0.29399999999999998</v>
      </c>
      <c r="AJ28" s="1">
        <v>3</v>
      </c>
      <c r="AK28" s="1">
        <v>0.253</v>
      </c>
      <c r="AL28" s="1">
        <v>0</v>
      </c>
      <c r="AM28" s="1">
        <v>3.5000000000000003E-2</v>
      </c>
      <c r="AN28" t="str">
        <f t="shared" si="0"/>
        <v>ok</v>
      </c>
    </row>
    <row r="29" spans="1:40" x14ac:dyDescent="0.3">
      <c r="A29" t="s">
        <v>58</v>
      </c>
      <c r="B29" t="s">
        <v>15</v>
      </c>
      <c r="C29" s="9">
        <v>41462</v>
      </c>
      <c r="D29" s="12">
        <v>1.115</v>
      </c>
      <c r="E29" s="12">
        <v>1.2849999999999999</v>
      </c>
      <c r="F29" s="1" t="s">
        <v>61</v>
      </c>
      <c r="G29" s="1">
        <v>1</v>
      </c>
      <c r="H29" s="1" t="s">
        <v>49</v>
      </c>
      <c r="I29" s="1" t="s">
        <v>41</v>
      </c>
      <c r="J29" s="1">
        <v>3</v>
      </c>
      <c r="K29" s="1">
        <v>0.247</v>
      </c>
      <c r="L29" s="35">
        <v>1</v>
      </c>
      <c r="M29" s="35">
        <v>0.159</v>
      </c>
      <c r="N29" s="35">
        <v>2</v>
      </c>
      <c r="O29" s="2">
        <v>2</v>
      </c>
      <c r="P29" s="1" t="s">
        <v>43</v>
      </c>
      <c r="Q29" s="1" t="s">
        <v>41</v>
      </c>
      <c r="R29" s="1">
        <v>2</v>
      </c>
      <c r="S29" s="1">
        <v>0.16400000000000001</v>
      </c>
      <c r="T29" s="35">
        <v>0</v>
      </c>
      <c r="U29" s="35">
        <v>0.109</v>
      </c>
      <c r="V29" s="35">
        <v>3</v>
      </c>
      <c r="W29" s="2">
        <v>3</v>
      </c>
      <c r="X29" s="1" t="s">
        <v>45</v>
      </c>
      <c r="Y29" s="1" t="s">
        <v>44</v>
      </c>
      <c r="Z29" s="1">
        <v>3</v>
      </c>
      <c r="AA29" s="1">
        <v>0.42799999999999999</v>
      </c>
      <c r="AB29" s="35">
        <v>1</v>
      </c>
      <c r="AC29" s="35">
        <v>0.35799999999999998</v>
      </c>
      <c r="AD29" s="35">
        <v>2</v>
      </c>
      <c r="AE29" s="2">
        <v>4</v>
      </c>
      <c r="AF29" s="1" t="s">
        <v>48</v>
      </c>
      <c r="AG29" s="1" t="s">
        <v>44</v>
      </c>
      <c r="AH29">
        <v>1</v>
      </c>
      <c r="AI29" s="1">
        <v>0.159</v>
      </c>
      <c r="AJ29" s="1">
        <v>0</v>
      </c>
      <c r="AK29" s="1">
        <v>4.5999999999999999E-2</v>
      </c>
      <c r="AL29" s="1">
        <v>4</v>
      </c>
      <c r="AM29" s="1">
        <v>4.3999999999999997E-2</v>
      </c>
      <c r="AN29" t="str">
        <f t="shared" si="0"/>
        <v>ok</v>
      </c>
    </row>
    <row r="30" spans="1:40" x14ac:dyDescent="0.3">
      <c r="A30" t="s">
        <v>59</v>
      </c>
      <c r="B30" t="s">
        <v>15</v>
      </c>
      <c r="C30" s="9">
        <v>41462</v>
      </c>
      <c r="D30" s="12">
        <v>1.1399999999999999</v>
      </c>
      <c r="E30" s="12">
        <v>1.2989999999999999</v>
      </c>
      <c r="F30" s="1" t="s">
        <v>61</v>
      </c>
      <c r="G30" s="1">
        <v>1</v>
      </c>
      <c r="H30" s="1" t="s">
        <v>46</v>
      </c>
      <c r="I30" s="1" t="s">
        <v>41</v>
      </c>
      <c r="J30" s="1">
        <v>3</v>
      </c>
      <c r="K30" s="1">
        <v>0.28499999999999998</v>
      </c>
      <c r="L30" s="1">
        <v>3</v>
      </c>
      <c r="M30" s="1">
        <v>0.25800000000000001</v>
      </c>
      <c r="N30" s="1">
        <v>0</v>
      </c>
      <c r="O30" s="2">
        <v>2</v>
      </c>
      <c r="P30" s="1" t="s">
        <v>48</v>
      </c>
      <c r="Q30" s="1" t="s">
        <v>44</v>
      </c>
      <c r="R30" s="1">
        <v>3</v>
      </c>
      <c r="S30" s="1">
        <v>0.24299999999999999</v>
      </c>
      <c r="T30" s="1">
        <v>3</v>
      </c>
      <c r="U30" s="1">
        <v>0.23200000000000001</v>
      </c>
      <c r="V30" s="1">
        <v>0</v>
      </c>
      <c r="W30" s="2">
        <v>3</v>
      </c>
      <c r="X30" s="1" t="s">
        <v>47</v>
      </c>
      <c r="Y30" s="1" t="s">
        <v>44</v>
      </c>
      <c r="Z30" s="1">
        <v>2</v>
      </c>
      <c r="AA30" s="1">
        <v>0.33500000000000002</v>
      </c>
      <c r="AB30" s="1">
        <v>0</v>
      </c>
      <c r="AC30" s="1">
        <v>0.109</v>
      </c>
      <c r="AD30" s="1">
        <v>4</v>
      </c>
      <c r="AE30" s="2">
        <v>4</v>
      </c>
      <c r="AF30" s="1" t="s">
        <v>49</v>
      </c>
      <c r="AG30" s="1" t="s">
        <v>41</v>
      </c>
      <c r="AH30">
        <v>3</v>
      </c>
      <c r="AI30" s="1">
        <v>0.27100000000000002</v>
      </c>
      <c r="AJ30" s="1">
        <v>3</v>
      </c>
      <c r="AK30" s="1">
        <v>0.20799999999999999</v>
      </c>
      <c r="AL30" s="1">
        <v>0</v>
      </c>
      <c r="AM30" s="1">
        <v>3.3000000000000002E-2</v>
      </c>
      <c r="AN30" t="str">
        <f t="shared" si="0"/>
        <v>ok</v>
      </c>
    </row>
    <row r="31" spans="1:40" x14ac:dyDescent="0.3">
      <c r="A31" s="40" t="s">
        <v>67</v>
      </c>
      <c r="B31" s="40" t="s">
        <v>15</v>
      </c>
      <c r="C31" s="41">
        <v>41462</v>
      </c>
      <c r="D31" s="42" t="s">
        <v>70</v>
      </c>
      <c r="E31" s="42">
        <v>1.92</v>
      </c>
      <c r="F31" s="43" t="s">
        <v>61</v>
      </c>
      <c r="G31" s="43">
        <v>1</v>
      </c>
      <c r="H31" s="43" t="s">
        <v>48</v>
      </c>
      <c r="I31" s="43" t="s">
        <v>44</v>
      </c>
      <c r="J31" s="43">
        <v>2</v>
      </c>
      <c r="K31" s="43">
        <v>0.254</v>
      </c>
      <c r="L31" s="43">
        <v>2</v>
      </c>
      <c r="M31" s="43">
        <v>0.23</v>
      </c>
      <c r="N31" s="43">
        <v>0</v>
      </c>
      <c r="O31" s="45">
        <v>2</v>
      </c>
      <c r="P31" s="43" t="s">
        <v>51</v>
      </c>
      <c r="Q31" s="43" t="s">
        <v>44</v>
      </c>
      <c r="R31" s="43">
        <v>3</v>
      </c>
      <c r="S31" s="43">
        <v>0.23200000000000001</v>
      </c>
      <c r="T31" s="43">
        <v>3</v>
      </c>
      <c r="U31" s="43">
        <v>0.23899999999999999</v>
      </c>
      <c r="V31" s="43">
        <v>0</v>
      </c>
      <c r="W31" s="45">
        <v>3</v>
      </c>
      <c r="X31" s="43" t="s">
        <v>50</v>
      </c>
      <c r="Y31" s="43" t="s">
        <v>41</v>
      </c>
      <c r="Z31" s="43">
        <v>3</v>
      </c>
      <c r="AA31" s="43">
        <v>0.22800000000000001</v>
      </c>
      <c r="AB31" s="43">
        <v>3</v>
      </c>
      <c r="AC31" s="43">
        <v>0.20100000000000001</v>
      </c>
      <c r="AD31" s="43">
        <v>0</v>
      </c>
      <c r="AE31" s="45">
        <v>4</v>
      </c>
      <c r="AF31" s="43" t="s">
        <v>49</v>
      </c>
      <c r="AG31" s="43" t="s">
        <v>41</v>
      </c>
      <c r="AH31" s="40">
        <v>1</v>
      </c>
      <c r="AI31" s="43">
        <v>0.20499999999999999</v>
      </c>
      <c r="AJ31" s="43">
        <v>1</v>
      </c>
      <c r="AK31" s="43">
        <v>0.21</v>
      </c>
      <c r="AL31" s="43">
        <v>0</v>
      </c>
      <c r="AM31" s="43">
        <v>0</v>
      </c>
      <c r="AN31" s="40" t="str">
        <f t="shared" si="0"/>
        <v>WRONG!</v>
      </c>
    </row>
    <row r="32" spans="1:40" x14ac:dyDescent="0.3">
      <c r="A32" t="s">
        <v>71</v>
      </c>
      <c r="B32" t="s">
        <v>55</v>
      </c>
      <c r="C32" s="9">
        <v>41463</v>
      </c>
      <c r="D32" s="12">
        <v>0.35699999999999998</v>
      </c>
      <c r="E32" s="12">
        <v>0.42699999999999999</v>
      </c>
      <c r="F32" s="1" t="s">
        <v>61</v>
      </c>
      <c r="G32" s="1">
        <v>1</v>
      </c>
      <c r="H32" s="1" t="s">
        <v>78</v>
      </c>
      <c r="I32" s="1" t="s">
        <v>44</v>
      </c>
      <c r="J32" s="1">
        <v>3</v>
      </c>
      <c r="K32" s="1">
        <v>0.35199999999999998</v>
      </c>
      <c r="L32" s="1">
        <v>2</v>
      </c>
      <c r="M32" s="1">
        <v>0.30499999999999999</v>
      </c>
      <c r="N32" s="1">
        <v>1</v>
      </c>
      <c r="O32" s="2">
        <v>2</v>
      </c>
      <c r="P32" s="1" t="s">
        <v>76</v>
      </c>
      <c r="Q32" s="1" t="s">
        <v>44</v>
      </c>
      <c r="R32" s="1">
        <v>3</v>
      </c>
      <c r="S32" s="1">
        <v>0.30099999999999999</v>
      </c>
      <c r="T32" s="1">
        <v>1</v>
      </c>
      <c r="U32" s="1">
        <v>0.18</v>
      </c>
      <c r="V32" s="1">
        <v>2</v>
      </c>
      <c r="W32" s="2">
        <v>3</v>
      </c>
      <c r="X32" s="1" t="s">
        <v>77</v>
      </c>
      <c r="Y32" s="1" t="s">
        <v>41</v>
      </c>
      <c r="Z32" s="1">
        <v>3</v>
      </c>
      <c r="AA32" s="1">
        <v>0.16600000000000001</v>
      </c>
      <c r="AB32" s="1">
        <v>3</v>
      </c>
      <c r="AC32" s="1">
        <v>0.189</v>
      </c>
      <c r="AD32" s="1">
        <v>0</v>
      </c>
      <c r="AE32" s="2">
        <v>4</v>
      </c>
      <c r="AF32" s="1" t="s">
        <v>74</v>
      </c>
      <c r="AG32" s="1" t="s">
        <v>41</v>
      </c>
      <c r="AH32" s="1">
        <v>3</v>
      </c>
      <c r="AI32" s="1">
        <v>0.27900000000000003</v>
      </c>
      <c r="AJ32" s="1">
        <v>0</v>
      </c>
      <c r="AK32" s="1">
        <v>0.17899999999999999</v>
      </c>
      <c r="AL32" s="1">
        <v>3</v>
      </c>
      <c r="AM32" s="1">
        <v>2.4E-2</v>
      </c>
      <c r="AN32" t="str">
        <f t="shared" si="0"/>
        <v>ok</v>
      </c>
    </row>
    <row r="33" spans="1:41" x14ac:dyDescent="0.3">
      <c r="A33" t="s">
        <v>86</v>
      </c>
      <c r="B33" t="s">
        <v>55</v>
      </c>
      <c r="C33" s="9">
        <v>41463</v>
      </c>
      <c r="D33" s="12">
        <v>0.21299999999999999</v>
      </c>
      <c r="E33" s="12">
        <v>0.215</v>
      </c>
      <c r="F33" s="1" t="s">
        <v>61</v>
      </c>
      <c r="G33" s="1">
        <v>1</v>
      </c>
      <c r="H33" s="1" t="s">
        <v>81</v>
      </c>
      <c r="I33" s="1" t="s">
        <v>44</v>
      </c>
      <c r="J33" s="1">
        <v>5</v>
      </c>
      <c r="K33" s="1">
        <v>0.27300000000000002</v>
      </c>
      <c r="L33" s="1">
        <v>5</v>
      </c>
      <c r="M33" s="1">
        <v>0.28899999999999998</v>
      </c>
      <c r="N33" s="1">
        <v>0</v>
      </c>
      <c r="O33" s="2">
        <v>2</v>
      </c>
      <c r="P33" s="1" t="s">
        <v>80</v>
      </c>
      <c r="Q33" s="1" t="s">
        <v>41</v>
      </c>
      <c r="R33" s="1">
        <v>3</v>
      </c>
      <c r="S33" s="1">
        <v>0.157</v>
      </c>
      <c r="T33" s="1">
        <v>3</v>
      </c>
      <c r="U33" s="1">
        <v>0.182</v>
      </c>
      <c r="V33" s="1">
        <v>1</v>
      </c>
      <c r="W33" s="2">
        <v>3</v>
      </c>
      <c r="X33" s="1" t="s">
        <v>79</v>
      </c>
      <c r="Y33" s="1" t="s">
        <v>41</v>
      </c>
      <c r="Z33" s="1">
        <v>3</v>
      </c>
      <c r="AA33" s="1">
        <v>0.20100000000000001</v>
      </c>
      <c r="AB33" s="1">
        <v>3</v>
      </c>
      <c r="AC33" s="1">
        <v>0.222</v>
      </c>
      <c r="AD33" s="1">
        <v>0</v>
      </c>
      <c r="AE33" s="2">
        <v>4</v>
      </c>
      <c r="AF33" s="1" t="s">
        <v>75</v>
      </c>
      <c r="AG33" s="1" t="s">
        <v>44</v>
      </c>
      <c r="AH33" s="1">
        <v>3</v>
      </c>
      <c r="AI33" s="1">
        <v>0.21199999999999999</v>
      </c>
      <c r="AJ33" s="1">
        <v>3</v>
      </c>
      <c r="AK33" s="1">
        <v>0.20499999999999999</v>
      </c>
      <c r="AL33" s="1">
        <v>0</v>
      </c>
      <c r="AM33" s="1">
        <v>1E-3</v>
      </c>
      <c r="AN33" t="str">
        <f>IF((N33+V33+AD33+AL33=0), "WRONG!","ok")</f>
        <v>ok</v>
      </c>
    </row>
    <row r="34" spans="1:41" x14ac:dyDescent="0.3">
      <c r="A34" t="s">
        <v>72</v>
      </c>
      <c r="B34" t="s">
        <v>55</v>
      </c>
      <c r="C34" s="9">
        <v>41463</v>
      </c>
      <c r="D34" s="12">
        <v>0.26400000000000001</v>
      </c>
      <c r="E34" s="12">
        <v>0.26900000000000002</v>
      </c>
      <c r="F34" s="1" t="s">
        <v>61</v>
      </c>
      <c r="G34" s="1">
        <v>1</v>
      </c>
      <c r="H34" s="1" t="s">
        <v>74</v>
      </c>
      <c r="I34" s="1" t="s">
        <v>41</v>
      </c>
      <c r="J34" s="1">
        <v>3</v>
      </c>
      <c r="K34" s="1">
        <v>0.158</v>
      </c>
      <c r="L34" s="1">
        <v>3</v>
      </c>
      <c r="M34" s="1">
        <v>0.16400000000000001</v>
      </c>
      <c r="N34" s="1">
        <v>1</v>
      </c>
      <c r="O34" s="2">
        <v>2</v>
      </c>
      <c r="P34" s="1" t="s">
        <v>80</v>
      </c>
      <c r="Q34" s="1" t="s">
        <v>41</v>
      </c>
      <c r="R34" s="1">
        <v>3</v>
      </c>
      <c r="S34" s="1">
        <v>0.24099999999999999</v>
      </c>
      <c r="T34" s="1">
        <v>3</v>
      </c>
      <c r="U34" s="1">
        <v>0.252</v>
      </c>
      <c r="V34" s="1">
        <v>0</v>
      </c>
      <c r="W34" s="2">
        <v>3</v>
      </c>
      <c r="X34" s="1" t="s">
        <v>78</v>
      </c>
      <c r="Y34" s="1" t="s">
        <v>44</v>
      </c>
      <c r="Z34" s="1">
        <v>4</v>
      </c>
      <c r="AA34" s="1">
        <v>0.33700000000000002</v>
      </c>
      <c r="AB34" s="1">
        <v>2</v>
      </c>
      <c r="AC34" s="1">
        <v>0.29699999999999999</v>
      </c>
      <c r="AD34" s="1">
        <v>2</v>
      </c>
      <c r="AE34" s="2">
        <v>4</v>
      </c>
      <c r="AF34" s="1" t="s">
        <v>75</v>
      </c>
      <c r="AG34" s="1" t="s">
        <v>44</v>
      </c>
      <c r="AH34" s="1">
        <v>4</v>
      </c>
      <c r="AI34" s="1">
        <v>0.182</v>
      </c>
      <c r="AJ34" s="1">
        <v>4</v>
      </c>
      <c r="AK34" s="1">
        <v>0.16400000000000001</v>
      </c>
      <c r="AL34" s="1">
        <v>0</v>
      </c>
      <c r="AM34" s="1">
        <v>1.4E-2</v>
      </c>
      <c r="AN34" t="str">
        <f>IF((N34+AD33+AD34+AL34=0), "WRONG!","ok")</f>
        <v>ok</v>
      </c>
    </row>
    <row r="35" spans="1:41" x14ac:dyDescent="0.3">
      <c r="A35" t="s">
        <v>73</v>
      </c>
      <c r="B35" t="s">
        <v>15</v>
      </c>
      <c r="C35" s="9">
        <v>41463</v>
      </c>
      <c r="D35" s="12">
        <v>1.8680000000000001</v>
      </c>
      <c r="E35" s="12">
        <v>1.9059999999999999</v>
      </c>
      <c r="F35" s="1" t="s">
        <v>61</v>
      </c>
      <c r="G35" s="1">
        <v>1</v>
      </c>
      <c r="H35" s="1" t="s">
        <v>80</v>
      </c>
      <c r="I35" s="1" t="s">
        <v>41</v>
      </c>
      <c r="J35" s="1">
        <v>3</v>
      </c>
      <c r="K35" s="1">
        <v>0.17899999999999999</v>
      </c>
      <c r="L35" s="1">
        <v>1</v>
      </c>
      <c r="M35" s="1">
        <v>0.12</v>
      </c>
      <c r="N35" s="1">
        <v>2</v>
      </c>
      <c r="O35" s="2">
        <v>2</v>
      </c>
      <c r="P35" s="1" t="s">
        <v>76</v>
      </c>
      <c r="Q35" s="1" t="s">
        <v>44</v>
      </c>
      <c r="R35" s="1">
        <v>3</v>
      </c>
      <c r="S35" s="1">
        <v>0.249</v>
      </c>
      <c r="T35" s="1">
        <v>2</v>
      </c>
      <c r="U35" s="1">
        <v>0.17799999999999999</v>
      </c>
      <c r="V35" s="1">
        <v>2</v>
      </c>
      <c r="W35" s="2">
        <v>3</v>
      </c>
      <c r="X35" s="1" t="s">
        <v>77</v>
      </c>
      <c r="Y35" s="1" t="s">
        <v>41</v>
      </c>
      <c r="Z35" s="1">
        <v>3</v>
      </c>
      <c r="AA35" s="1">
        <v>0.156</v>
      </c>
      <c r="AB35" s="1">
        <v>3</v>
      </c>
      <c r="AC35" s="1">
        <v>0.16200000000000001</v>
      </c>
      <c r="AD35" s="1">
        <v>0</v>
      </c>
      <c r="AE35" s="2">
        <v>4</v>
      </c>
      <c r="AF35" s="1" t="s">
        <v>75</v>
      </c>
      <c r="AG35" s="1" t="s">
        <v>44</v>
      </c>
      <c r="AH35" s="1">
        <v>3</v>
      </c>
      <c r="AI35" s="1">
        <v>0.189</v>
      </c>
      <c r="AJ35" s="1">
        <v>3</v>
      </c>
      <c r="AK35" s="1">
        <v>0.19800000000000001</v>
      </c>
      <c r="AL35" s="1">
        <v>0</v>
      </c>
      <c r="AM35" s="1">
        <v>3.1E-2</v>
      </c>
      <c r="AN35" t="str">
        <f t="shared" ref="AN35:AN37" si="1">IF((N35+V35+AD35+AL35=0), "WRONG!","ok")</f>
        <v>ok</v>
      </c>
    </row>
    <row r="36" spans="1:41" x14ac:dyDescent="0.3">
      <c r="A36" s="40" t="s">
        <v>64</v>
      </c>
      <c r="B36" s="40" t="s">
        <v>15</v>
      </c>
      <c r="C36" s="41">
        <v>41464</v>
      </c>
      <c r="D36" s="42">
        <v>1.3220000000000001</v>
      </c>
      <c r="E36" s="42">
        <v>1.319</v>
      </c>
      <c r="F36" s="43" t="s">
        <v>1</v>
      </c>
      <c r="G36" s="43">
        <v>1</v>
      </c>
      <c r="H36" s="43" t="s">
        <v>47</v>
      </c>
      <c r="I36" s="43" t="s">
        <v>44</v>
      </c>
      <c r="J36" s="43">
        <v>2</v>
      </c>
      <c r="K36" s="43">
        <v>0.22</v>
      </c>
      <c r="L36" s="43">
        <v>2</v>
      </c>
      <c r="M36" s="43">
        <v>0.217</v>
      </c>
      <c r="N36" s="43">
        <v>0</v>
      </c>
      <c r="O36" s="45">
        <v>2</v>
      </c>
      <c r="P36" s="43" t="s">
        <v>48</v>
      </c>
      <c r="Q36" s="43" t="s">
        <v>44</v>
      </c>
      <c r="R36" s="43">
        <v>4</v>
      </c>
      <c r="S36" s="43">
        <v>0.34699999999999998</v>
      </c>
      <c r="T36" s="43">
        <v>4</v>
      </c>
      <c r="U36" s="43">
        <v>0.374</v>
      </c>
      <c r="V36" s="43">
        <v>0</v>
      </c>
      <c r="W36" s="45">
        <v>3</v>
      </c>
      <c r="X36" s="43" t="s">
        <v>46</v>
      </c>
      <c r="Y36" s="43" t="s">
        <v>41</v>
      </c>
      <c r="Z36" s="43">
        <v>4</v>
      </c>
      <c r="AA36" s="43">
        <v>0.22800000000000001</v>
      </c>
      <c r="AB36" s="43">
        <v>4</v>
      </c>
      <c r="AC36" s="43">
        <v>0.24</v>
      </c>
      <c r="AD36" s="43">
        <v>0</v>
      </c>
      <c r="AE36" s="45">
        <v>4</v>
      </c>
      <c r="AF36" s="43" t="s">
        <v>49</v>
      </c>
      <c r="AG36" s="43" t="s">
        <v>41</v>
      </c>
      <c r="AH36" s="43">
        <v>4</v>
      </c>
      <c r="AI36" s="43">
        <v>0.17100000000000001</v>
      </c>
      <c r="AJ36" s="43">
        <v>4</v>
      </c>
      <c r="AK36" s="43">
        <v>0.17399999999999999</v>
      </c>
      <c r="AL36" s="43">
        <v>0</v>
      </c>
      <c r="AM36" s="43">
        <v>0</v>
      </c>
      <c r="AN36" s="40" t="str">
        <f t="shared" si="1"/>
        <v>WRONG!</v>
      </c>
    </row>
    <row r="37" spans="1:41" x14ac:dyDescent="0.3">
      <c r="A37" s="40" t="s">
        <v>65</v>
      </c>
      <c r="B37" s="40" t="s">
        <v>15</v>
      </c>
      <c r="C37" s="41">
        <v>41464</v>
      </c>
      <c r="D37" s="42">
        <v>0.96699999999999997</v>
      </c>
      <c r="E37" s="42">
        <v>0.96599999999999997</v>
      </c>
      <c r="F37" s="43" t="s">
        <v>1</v>
      </c>
      <c r="G37" s="43">
        <v>1</v>
      </c>
      <c r="H37" s="43" t="s">
        <v>50</v>
      </c>
      <c r="I37" s="43" t="s">
        <v>41</v>
      </c>
      <c r="J37" s="43">
        <v>5</v>
      </c>
      <c r="K37" s="43">
        <v>0.18099999999999999</v>
      </c>
      <c r="L37" s="43">
        <v>5</v>
      </c>
      <c r="M37" s="43">
        <v>0.154</v>
      </c>
      <c r="N37" s="43">
        <v>0</v>
      </c>
      <c r="O37" s="45">
        <v>2</v>
      </c>
      <c r="P37" s="43" t="s">
        <v>47</v>
      </c>
      <c r="Q37" s="43" t="s">
        <v>44</v>
      </c>
      <c r="R37" s="43">
        <v>3</v>
      </c>
      <c r="S37" s="43">
        <v>0.17799999999999999</v>
      </c>
      <c r="T37" s="43">
        <v>3</v>
      </c>
      <c r="U37" s="43">
        <v>0.17599999999999999</v>
      </c>
      <c r="V37" s="43">
        <v>0</v>
      </c>
      <c r="W37" s="45">
        <v>3</v>
      </c>
      <c r="X37" s="43" t="s">
        <v>46</v>
      </c>
      <c r="Y37" s="43" t="s">
        <v>41</v>
      </c>
      <c r="Z37" s="43">
        <v>4</v>
      </c>
      <c r="AA37" s="43">
        <v>0.17199999999999999</v>
      </c>
      <c r="AB37" s="43">
        <v>4</v>
      </c>
      <c r="AC37" s="43">
        <v>0.16800000000000001</v>
      </c>
      <c r="AD37" s="43">
        <v>0</v>
      </c>
      <c r="AE37" s="45">
        <v>4</v>
      </c>
      <c r="AF37" s="43" t="s">
        <v>51</v>
      </c>
      <c r="AG37" s="43" t="s">
        <v>44</v>
      </c>
      <c r="AH37" s="43">
        <v>4</v>
      </c>
      <c r="AI37" s="43">
        <v>0.26200000000000001</v>
      </c>
      <c r="AJ37" s="43">
        <v>4</v>
      </c>
      <c r="AK37" s="43">
        <v>0.27500000000000002</v>
      </c>
      <c r="AL37" s="43">
        <v>0</v>
      </c>
      <c r="AM37" s="43">
        <v>0</v>
      </c>
      <c r="AN37" s="40" t="str">
        <f t="shared" si="1"/>
        <v>WRONG!</v>
      </c>
    </row>
    <row r="38" spans="1:41" x14ac:dyDescent="0.3">
      <c r="A38" s="40" t="s">
        <v>53</v>
      </c>
      <c r="B38" s="40" t="s">
        <v>15</v>
      </c>
      <c r="C38" s="41">
        <v>41464</v>
      </c>
      <c r="D38" s="42">
        <v>1.57</v>
      </c>
      <c r="E38" s="42">
        <v>1.5649999999999999</v>
      </c>
      <c r="F38" s="43" t="s">
        <v>1</v>
      </c>
      <c r="G38" s="43">
        <v>1</v>
      </c>
      <c r="H38" s="43" t="s">
        <v>48</v>
      </c>
      <c r="I38" s="43" t="s">
        <v>44</v>
      </c>
      <c r="J38" s="43">
        <v>3</v>
      </c>
      <c r="K38" s="43">
        <v>0.112</v>
      </c>
      <c r="L38" s="43">
        <v>3</v>
      </c>
      <c r="M38" s="43">
        <v>0.11700000000000001</v>
      </c>
      <c r="N38" s="43">
        <v>0</v>
      </c>
      <c r="O38" s="45">
        <v>2</v>
      </c>
      <c r="P38" s="43" t="s">
        <v>50</v>
      </c>
      <c r="Q38" s="43" t="s">
        <v>41</v>
      </c>
      <c r="R38" s="43">
        <v>5</v>
      </c>
      <c r="S38" s="43">
        <v>0.30199999999999999</v>
      </c>
      <c r="T38" s="43">
        <v>5</v>
      </c>
      <c r="U38" s="43">
        <v>0.28799999999999998</v>
      </c>
      <c r="V38" s="43">
        <v>0</v>
      </c>
      <c r="W38" s="45">
        <v>3</v>
      </c>
      <c r="X38" s="43" t="s">
        <v>51</v>
      </c>
      <c r="Y38" s="43" t="s">
        <v>44</v>
      </c>
      <c r="Z38" s="43">
        <v>4</v>
      </c>
      <c r="AA38" s="43">
        <v>0.40100000000000002</v>
      </c>
      <c r="AB38" s="43">
        <v>4</v>
      </c>
      <c r="AC38" s="43">
        <v>0.372</v>
      </c>
      <c r="AD38" s="43">
        <v>0</v>
      </c>
      <c r="AE38" s="45">
        <v>4</v>
      </c>
      <c r="AF38" s="43" t="s">
        <v>49</v>
      </c>
      <c r="AG38" s="43" t="s">
        <v>41</v>
      </c>
      <c r="AH38" s="43">
        <v>4</v>
      </c>
      <c r="AI38" s="43">
        <v>0.13</v>
      </c>
      <c r="AJ38" s="43">
        <v>4</v>
      </c>
      <c r="AK38" s="43">
        <v>0.127</v>
      </c>
      <c r="AL38" s="43">
        <v>0</v>
      </c>
      <c r="AM38" s="43">
        <v>0</v>
      </c>
      <c r="AN38" s="40" t="str">
        <f>IF((N38+V38+AD38+AL38=0), "WRONG!","ok")</f>
        <v>WRONG!</v>
      </c>
    </row>
    <row r="39" spans="1:41" x14ac:dyDescent="0.3">
      <c r="A39" t="s">
        <v>87</v>
      </c>
      <c r="B39" t="s">
        <v>15</v>
      </c>
      <c r="C39" s="9">
        <v>41464</v>
      </c>
      <c r="D39" s="12">
        <v>0.96799999999999997</v>
      </c>
      <c r="E39" s="12">
        <v>1.0580000000000001</v>
      </c>
      <c r="F39" s="1" t="s">
        <v>1</v>
      </c>
      <c r="G39" s="1">
        <v>1</v>
      </c>
      <c r="H39" s="1" t="s">
        <v>43</v>
      </c>
      <c r="I39" s="1" t="s">
        <v>41</v>
      </c>
      <c r="J39" s="1">
        <v>4</v>
      </c>
      <c r="K39" s="1">
        <v>0.28100000000000003</v>
      </c>
      <c r="L39" s="1">
        <v>4</v>
      </c>
      <c r="M39" s="1">
        <v>0.29399999999999998</v>
      </c>
      <c r="N39" s="1">
        <v>0</v>
      </c>
      <c r="O39" s="2">
        <v>2</v>
      </c>
      <c r="P39" s="1" t="s">
        <v>49</v>
      </c>
      <c r="Q39" s="1" t="s">
        <v>41</v>
      </c>
      <c r="R39" s="1">
        <v>2</v>
      </c>
      <c r="S39" s="1">
        <v>0.14099999999999999</v>
      </c>
      <c r="T39" s="1">
        <v>2</v>
      </c>
      <c r="U39" s="1">
        <v>0.14299999999999999</v>
      </c>
      <c r="V39" s="1">
        <v>0</v>
      </c>
      <c r="W39" s="2">
        <v>3</v>
      </c>
      <c r="X39" s="1" t="s">
        <v>48</v>
      </c>
      <c r="Y39" s="1" t="s">
        <v>44</v>
      </c>
      <c r="Z39" s="1">
        <v>3</v>
      </c>
      <c r="AA39" s="1">
        <v>0.29599999999999999</v>
      </c>
      <c r="AB39" s="1">
        <v>2</v>
      </c>
      <c r="AC39" s="1">
        <v>0.215</v>
      </c>
      <c r="AD39" s="1">
        <v>3</v>
      </c>
      <c r="AE39" s="2">
        <v>4</v>
      </c>
      <c r="AF39" s="1" t="s">
        <v>45</v>
      </c>
      <c r="AG39" s="1" t="s">
        <v>44</v>
      </c>
      <c r="AH39" s="1">
        <v>4</v>
      </c>
      <c r="AI39" s="1">
        <v>0.28699999999999998</v>
      </c>
      <c r="AJ39" s="1">
        <v>4</v>
      </c>
      <c r="AK39" s="1">
        <v>0.28299999999999997</v>
      </c>
      <c r="AL39" s="1">
        <v>0</v>
      </c>
      <c r="AM39" s="1">
        <v>1.0999999999999999E-2</v>
      </c>
      <c r="AN39" t="str">
        <f>IF((N39+V39+AD39+AL39=0), "WRONG!","ok")</f>
        <v>ok</v>
      </c>
    </row>
    <row r="40" spans="1:41" s="32" customFormat="1" x14ac:dyDescent="0.3">
      <c r="A40" s="40" t="s">
        <v>57</v>
      </c>
      <c r="B40" s="40" t="s">
        <v>55</v>
      </c>
      <c r="C40" s="41">
        <v>41465</v>
      </c>
      <c r="D40" s="42">
        <v>0.29499999999999998</v>
      </c>
      <c r="E40" s="42">
        <v>0.28999999999999998</v>
      </c>
      <c r="F40" s="43" t="s">
        <v>61</v>
      </c>
      <c r="G40" s="43">
        <v>1</v>
      </c>
      <c r="H40" s="43" t="s">
        <v>47</v>
      </c>
      <c r="I40" s="43" t="s">
        <v>44</v>
      </c>
      <c r="J40" s="43">
        <v>3</v>
      </c>
      <c r="K40" s="40">
        <v>0.33400000000000002</v>
      </c>
      <c r="L40" s="40">
        <v>3</v>
      </c>
      <c r="M40" s="40">
        <v>0.33300000000000002</v>
      </c>
      <c r="N40" s="40">
        <v>0</v>
      </c>
      <c r="O40" s="45">
        <v>2</v>
      </c>
      <c r="P40" s="43" t="s">
        <v>48</v>
      </c>
      <c r="Q40" s="43" t="s">
        <v>44</v>
      </c>
      <c r="R40" s="43">
        <v>2</v>
      </c>
      <c r="S40" s="40">
        <v>0.14799999999999999</v>
      </c>
      <c r="T40" s="40">
        <v>2</v>
      </c>
      <c r="U40" s="40">
        <v>0.158</v>
      </c>
      <c r="V40" s="40">
        <v>0</v>
      </c>
      <c r="W40" s="45">
        <v>3</v>
      </c>
      <c r="X40" s="43" t="s">
        <v>46</v>
      </c>
      <c r="Y40" s="43" t="s">
        <v>41</v>
      </c>
      <c r="Z40" s="40">
        <v>3</v>
      </c>
      <c r="AA40" s="40">
        <v>0.247</v>
      </c>
      <c r="AB40" s="40">
        <v>3</v>
      </c>
      <c r="AC40" s="40">
        <v>0.21</v>
      </c>
      <c r="AD40" s="40">
        <v>0</v>
      </c>
      <c r="AE40" s="45">
        <v>4</v>
      </c>
      <c r="AF40" s="43" t="s">
        <v>49</v>
      </c>
      <c r="AG40" s="40" t="s">
        <v>41</v>
      </c>
      <c r="AH40" s="40">
        <v>2</v>
      </c>
      <c r="AI40" s="43">
        <v>0.32700000000000001</v>
      </c>
      <c r="AJ40" s="40">
        <v>2</v>
      </c>
      <c r="AK40" s="40">
        <v>0.316</v>
      </c>
      <c r="AL40" s="40">
        <v>0</v>
      </c>
      <c r="AM40" s="43">
        <v>2E-3</v>
      </c>
      <c r="AN40" s="40" t="str">
        <f t="shared" ref="AN40:AN76" si="2">IF((N40+V40+AD40+AL40=0), "WRONG!","ok")</f>
        <v>WRONG!</v>
      </c>
    </row>
    <row r="41" spans="1:41" s="32" customFormat="1" x14ac:dyDescent="0.3">
      <c r="A41" s="40" t="s">
        <v>38</v>
      </c>
      <c r="B41" s="40" t="s">
        <v>15</v>
      </c>
      <c r="C41" s="41">
        <v>41465</v>
      </c>
      <c r="D41" s="42">
        <v>1.69</v>
      </c>
      <c r="E41" s="42">
        <v>1.6850000000000001</v>
      </c>
      <c r="F41" s="43" t="s">
        <v>61</v>
      </c>
      <c r="G41" s="43">
        <v>1</v>
      </c>
      <c r="H41" s="43" t="s">
        <v>50</v>
      </c>
      <c r="I41" s="43" t="s">
        <v>41</v>
      </c>
      <c r="J41" s="43">
        <v>3</v>
      </c>
      <c r="K41" s="40">
        <v>0.22</v>
      </c>
      <c r="L41" s="40">
        <v>3</v>
      </c>
      <c r="M41" s="40">
        <v>0.218</v>
      </c>
      <c r="N41" s="40">
        <v>0</v>
      </c>
      <c r="O41" s="45">
        <v>2</v>
      </c>
      <c r="P41" s="43" t="s">
        <v>49</v>
      </c>
      <c r="Q41" s="43" t="s">
        <v>41</v>
      </c>
      <c r="R41" s="43">
        <v>2</v>
      </c>
      <c r="S41" s="40">
        <v>0.16600000000000001</v>
      </c>
      <c r="T41" s="40">
        <v>2</v>
      </c>
      <c r="U41" s="40">
        <v>0.16700000000000001</v>
      </c>
      <c r="V41" s="40">
        <v>0</v>
      </c>
      <c r="W41" s="45">
        <v>3</v>
      </c>
      <c r="X41" s="43" t="s">
        <v>51</v>
      </c>
      <c r="Y41" s="43" t="s">
        <v>44</v>
      </c>
      <c r="Z41" s="40">
        <v>3</v>
      </c>
      <c r="AA41" s="40">
        <v>0.44400000000000001</v>
      </c>
      <c r="AB41" s="40">
        <v>3</v>
      </c>
      <c r="AC41" s="40">
        <v>0.29899999999999999</v>
      </c>
      <c r="AD41" s="40">
        <v>0</v>
      </c>
      <c r="AE41" s="45">
        <v>4</v>
      </c>
      <c r="AF41" s="43" t="s">
        <v>48</v>
      </c>
      <c r="AG41" s="40" t="s">
        <v>44</v>
      </c>
      <c r="AH41" s="40">
        <v>2</v>
      </c>
      <c r="AI41" s="43">
        <v>0.19400000000000001</v>
      </c>
      <c r="AJ41" s="40">
        <v>2</v>
      </c>
      <c r="AK41" s="40">
        <v>0.21299999999999999</v>
      </c>
      <c r="AL41" s="40">
        <v>0</v>
      </c>
      <c r="AM41" s="43">
        <v>0</v>
      </c>
      <c r="AN41" s="40" t="str">
        <f t="shared" si="2"/>
        <v>WRONG!</v>
      </c>
    </row>
    <row r="42" spans="1:41" s="32" customFormat="1" x14ac:dyDescent="0.3">
      <c r="A42" s="32" t="s">
        <v>39</v>
      </c>
      <c r="B42" s="32" t="s">
        <v>15</v>
      </c>
      <c r="C42" s="9">
        <v>41465</v>
      </c>
      <c r="D42" s="34">
        <v>0.50800000000000001</v>
      </c>
      <c r="E42" s="34">
        <v>0.66200000000000003</v>
      </c>
      <c r="F42" s="1" t="s">
        <v>61</v>
      </c>
      <c r="G42" s="35">
        <v>1</v>
      </c>
      <c r="H42" s="35" t="s">
        <v>48</v>
      </c>
      <c r="I42" s="35" t="s">
        <v>44</v>
      </c>
      <c r="J42" s="35">
        <v>5</v>
      </c>
      <c r="K42" s="32">
        <v>0.32500000000000001</v>
      </c>
      <c r="L42" s="32">
        <v>4</v>
      </c>
      <c r="M42" s="32">
        <v>0.32500000000000001</v>
      </c>
      <c r="N42" s="32">
        <v>2</v>
      </c>
      <c r="O42" s="36">
        <v>2</v>
      </c>
      <c r="P42" s="35" t="s">
        <v>43</v>
      </c>
      <c r="Q42" s="35" t="s">
        <v>41</v>
      </c>
      <c r="R42" s="35">
        <v>6</v>
      </c>
      <c r="S42" s="32">
        <v>0.28199999999999997</v>
      </c>
      <c r="T42" s="32">
        <v>6</v>
      </c>
      <c r="U42" s="32">
        <v>0.29799999999999999</v>
      </c>
      <c r="V42" s="32">
        <v>0</v>
      </c>
      <c r="W42" s="36">
        <v>3</v>
      </c>
      <c r="X42" s="35" t="s">
        <v>45</v>
      </c>
      <c r="Y42" s="35" t="s">
        <v>44</v>
      </c>
      <c r="Z42" s="32">
        <v>3</v>
      </c>
      <c r="AA42" s="32">
        <v>0.17499999999999999</v>
      </c>
      <c r="AB42" s="32">
        <v>1</v>
      </c>
      <c r="AC42" s="32">
        <v>9.4E-2</v>
      </c>
      <c r="AD42" s="32">
        <v>3</v>
      </c>
      <c r="AE42" s="36">
        <v>4</v>
      </c>
      <c r="AF42" s="35" t="s">
        <v>49</v>
      </c>
      <c r="AG42" s="32" t="s">
        <v>41</v>
      </c>
      <c r="AH42" s="32">
        <v>2</v>
      </c>
      <c r="AI42" s="35">
        <v>0.28000000000000003</v>
      </c>
      <c r="AJ42" s="32">
        <v>2</v>
      </c>
      <c r="AK42" s="32">
        <v>0.22600000000000001</v>
      </c>
      <c r="AL42" s="32">
        <v>2</v>
      </c>
      <c r="AM42" s="35">
        <v>2.4E-2</v>
      </c>
      <c r="AN42" t="str">
        <f t="shared" si="2"/>
        <v>ok</v>
      </c>
      <c r="AO42" s="32" t="s">
        <v>89</v>
      </c>
    </row>
    <row r="43" spans="1:41" s="32" customFormat="1" x14ac:dyDescent="0.3">
      <c r="A43" s="40" t="s">
        <v>88</v>
      </c>
      <c r="B43" s="40" t="s">
        <v>15</v>
      </c>
      <c r="C43" s="41">
        <v>41465</v>
      </c>
      <c r="D43" s="42">
        <v>1.4490000000000001</v>
      </c>
      <c r="E43" s="42" t="s">
        <v>90</v>
      </c>
      <c r="F43" s="43" t="s">
        <v>61</v>
      </c>
      <c r="G43" s="43">
        <v>1</v>
      </c>
      <c r="H43" s="43" t="s">
        <v>46</v>
      </c>
      <c r="I43" s="43" t="s">
        <v>41</v>
      </c>
      <c r="J43" s="43">
        <v>3</v>
      </c>
      <c r="K43" s="40">
        <v>0.28100000000000003</v>
      </c>
      <c r="L43" s="40">
        <v>3</v>
      </c>
      <c r="M43" s="40">
        <v>0.27</v>
      </c>
      <c r="N43" s="40">
        <v>0</v>
      </c>
      <c r="O43" s="45">
        <v>2</v>
      </c>
      <c r="P43" s="43" t="s">
        <v>51</v>
      </c>
      <c r="Q43" s="43" t="s">
        <v>44</v>
      </c>
      <c r="R43" s="43">
        <v>3</v>
      </c>
      <c r="S43" s="40">
        <v>0.31</v>
      </c>
      <c r="T43" s="40">
        <v>3</v>
      </c>
      <c r="U43" s="40">
        <v>0.29599999999999999</v>
      </c>
      <c r="V43" s="40">
        <v>0</v>
      </c>
      <c r="W43" s="45">
        <v>3</v>
      </c>
      <c r="X43" s="43" t="s">
        <v>47</v>
      </c>
      <c r="Y43" s="43" t="s">
        <v>41</v>
      </c>
      <c r="Z43" s="40">
        <v>3</v>
      </c>
      <c r="AA43" s="40">
        <v>0.45</v>
      </c>
      <c r="AB43" s="40">
        <v>3</v>
      </c>
      <c r="AC43" s="40">
        <v>0.43</v>
      </c>
      <c r="AD43" s="40">
        <v>0</v>
      </c>
      <c r="AE43" s="45">
        <v>4</v>
      </c>
      <c r="AF43" s="43" t="s">
        <v>50</v>
      </c>
      <c r="AG43" s="40" t="s">
        <v>44</v>
      </c>
      <c r="AH43" s="40">
        <v>1</v>
      </c>
      <c r="AI43" s="43">
        <v>0.11700000000000001</v>
      </c>
      <c r="AJ43" s="40">
        <v>1</v>
      </c>
      <c r="AK43" s="40">
        <v>9.9000000000000005E-2</v>
      </c>
      <c r="AL43" s="40">
        <v>0</v>
      </c>
      <c r="AM43" s="43">
        <v>0</v>
      </c>
      <c r="AN43" s="40" t="str">
        <f t="shared" si="2"/>
        <v>WRONG!</v>
      </c>
    </row>
    <row r="44" spans="1:41" s="40" customFormat="1" x14ac:dyDescent="0.3">
      <c r="A44" s="40" t="s">
        <v>85</v>
      </c>
      <c r="B44" s="40" t="s">
        <v>15</v>
      </c>
      <c r="C44" s="41">
        <v>41466</v>
      </c>
      <c r="D44" s="42">
        <v>1.4930000000000001</v>
      </c>
      <c r="E44" s="42">
        <v>1.492</v>
      </c>
      <c r="F44" s="43" t="s">
        <v>1</v>
      </c>
      <c r="G44" s="43">
        <v>1</v>
      </c>
      <c r="H44" s="43" t="s">
        <v>79</v>
      </c>
      <c r="I44" s="43" t="s">
        <v>41</v>
      </c>
      <c r="J44" s="43">
        <v>3</v>
      </c>
      <c r="K44" s="40">
        <v>0.316</v>
      </c>
      <c r="L44" s="40">
        <v>3</v>
      </c>
      <c r="M44" s="40">
        <v>0.33600000000000002</v>
      </c>
      <c r="N44" s="40">
        <v>0</v>
      </c>
      <c r="O44" s="45">
        <v>2</v>
      </c>
      <c r="P44" s="43" t="s">
        <v>74</v>
      </c>
      <c r="Q44" s="43" t="s">
        <v>41</v>
      </c>
      <c r="R44" s="43">
        <v>3</v>
      </c>
      <c r="S44" s="40">
        <v>0.34399999999999997</v>
      </c>
      <c r="T44" s="40">
        <v>3</v>
      </c>
      <c r="U44" s="40">
        <v>0.33500000000000002</v>
      </c>
      <c r="V44" s="40">
        <v>0</v>
      </c>
      <c r="W44" s="45">
        <v>3</v>
      </c>
      <c r="X44" s="43" t="s">
        <v>81</v>
      </c>
      <c r="Y44" s="43" t="s">
        <v>44</v>
      </c>
      <c r="Z44" s="40">
        <v>3</v>
      </c>
      <c r="AA44" s="40">
        <v>0.19700000000000001</v>
      </c>
      <c r="AB44" s="40">
        <v>3</v>
      </c>
      <c r="AC44" s="40">
        <v>0.20399999999999999</v>
      </c>
      <c r="AD44" s="40">
        <v>0</v>
      </c>
      <c r="AE44" s="45">
        <v>4</v>
      </c>
      <c r="AF44" s="43" t="s">
        <v>78</v>
      </c>
      <c r="AG44" s="40" t="s">
        <v>44</v>
      </c>
      <c r="AH44" s="40">
        <v>3</v>
      </c>
      <c r="AI44" s="43">
        <v>0.373</v>
      </c>
      <c r="AJ44" s="40">
        <v>3</v>
      </c>
      <c r="AK44" s="40">
        <v>0.36</v>
      </c>
      <c r="AL44" s="40">
        <v>0</v>
      </c>
      <c r="AM44" s="43">
        <v>0</v>
      </c>
      <c r="AN44" s="40" t="str">
        <f t="shared" si="2"/>
        <v>WRONG!</v>
      </c>
    </row>
    <row r="45" spans="1:41" s="32" customFormat="1" x14ac:dyDescent="0.3">
      <c r="A45" s="40" t="s">
        <v>64</v>
      </c>
      <c r="B45" s="40" t="s">
        <v>15</v>
      </c>
      <c r="C45" s="41">
        <v>41466</v>
      </c>
      <c r="D45" s="42">
        <v>1.3140000000000001</v>
      </c>
      <c r="E45" s="42">
        <v>1.3120000000000001</v>
      </c>
      <c r="F45" s="43" t="s">
        <v>1</v>
      </c>
      <c r="G45" s="43">
        <v>1</v>
      </c>
      <c r="H45" s="43" t="s">
        <v>78</v>
      </c>
      <c r="I45" s="43" t="s">
        <v>44</v>
      </c>
      <c r="J45" s="43">
        <v>2</v>
      </c>
      <c r="K45" s="40">
        <v>0.46</v>
      </c>
      <c r="L45" s="40">
        <v>2</v>
      </c>
      <c r="M45" s="40">
        <v>0.46899999999999997</v>
      </c>
      <c r="N45" s="40">
        <v>0</v>
      </c>
      <c r="O45" s="45">
        <v>2</v>
      </c>
      <c r="P45" s="43" t="s">
        <v>77</v>
      </c>
      <c r="Q45" s="43" t="s">
        <v>41</v>
      </c>
      <c r="R45" s="43">
        <v>2</v>
      </c>
      <c r="S45" s="40">
        <v>0.27600000000000002</v>
      </c>
      <c r="T45" s="40">
        <v>2</v>
      </c>
      <c r="U45" s="40">
        <v>0.27200000000000002</v>
      </c>
      <c r="V45" s="40">
        <v>0</v>
      </c>
      <c r="W45" s="45">
        <v>3</v>
      </c>
      <c r="X45" s="43" t="s">
        <v>76</v>
      </c>
      <c r="Y45" s="43" t="s">
        <v>44</v>
      </c>
      <c r="Z45" s="40">
        <v>2</v>
      </c>
      <c r="AA45" s="40">
        <v>0.184</v>
      </c>
      <c r="AB45" s="40">
        <v>2</v>
      </c>
      <c r="AC45" s="40">
        <v>0.186</v>
      </c>
      <c r="AD45" s="40">
        <v>0</v>
      </c>
      <c r="AE45" s="45">
        <v>4</v>
      </c>
      <c r="AF45" s="43" t="s">
        <v>74</v>
      </c>
      <c r="AG45" s="40" t="s">
        <v>41</v>
      </c>
      <c r="AH45" s="40">
        <v>5</v>
      </c>
      <c r="AI45" s="43">
        <v>0.442</v>
      </c>
      <c r="AJ45" s="40">
        <v>5</v>
      </c>
      <c r="AK45" s="40">
        <v>0.40699999999999997</v>
      </c>
      <c r="AL45" s="40">
        <v>0</v>
      </c>
      <c r="AM45" s="43">
        <v>0</v>
      </c>
      <c r="AN45" s="40" t="str">
        <f t="shared" si="2"/>
        <v>WRONG!</v>
      </c>
    </row>
    <row r="46" spans="1:41" s="32" customFormat="1" x14ac:dyDescent="0.3">
      <c r="A46" s="40" t="s">
        <v>65</v>
      </c>
      <c r="B46" s="40" t="s">
        <v>15</v>
      </c>
      <c r="C46" s="41">
        <v>41466</v>
      </c>
      <c r="D46" s="42">
        <v>0.96</v>
      </c>
      <c r="E46" s="42">
        <v>0.96</v>
      </c>
      <c r="F46" s="43" t="s">
        <v>1</v>
      </c>
      <c r="G46" s="43">
        <v>1</v>
      </c>
      <c r="H46" s="43" t="s">
        <v>80</v>
      </c>
      <c r="I46" s="43" t="s">
        <v>41</v>
      </c>
      <c r="J46" s="43">
        <v>3</v>
      </c>
      <c r="K46" s="40">
        <v>0.40200000000000002</v>
      </c>
      <c r="L46" s="40">
        <v>3</v>
      </c>
      <c r="M46" s="40">
        <v>0.41399999999999998</v>
      </c>
      <c r="N46" s="40">
        <v>0</v>
      </c>
      <c r="O46" s="45">
        <v>2</v>
      </c>
      <c r="P46" s="43" t="s">
        <v>76</v>
      </c>
      <c r="Q46" s="43" t="s">
        <v>44</v>
      </c>
      <c r="R46" s="43">
        <v>4</v>
      </c>
      <c r="S46" s="40">
        <v>0.187</v>
      </c>
      <c r="T46" s="40">
        <v>4</v>
      </c>
      <c r="U46" s="40">
        <v>0.188</v>
      </c>
      <c r="V46" s="40">
        <v>0</v>
      </c>
      <c r="W46" s="45">
        <v>3</v>
      </c>
      <c r="X46" s="43" t="s">
        <v>77</v>
      </c>
      <c r="Y46" s="43" t="s">
        <v>41</v>
      </c>
      <c r="Z46" s="40">
        <v>3</v>
      </c>
      <c r="AA46" s="40">
        <v>0.246</v>
      </c>
      <c r="AB46" s="40">
        <v>3</v>
      </c>
      <c r="AC46" s="40">
        <v>0.252</v>
      </c>
      <c r="AD46" s="40">
        <v>0</v>
      </c>
      <c r="AE46" s="45">
        <v>4</v>
      </c>
      <c r="AF46" s="43" t="s">
        <v>75</v>
      </c>
      <c r="AG46" s="40" t="s">
        <v>44</v>
      </c>
      <c r="AH46" s="40">
        <v>4</v>
      </c>
      <c r="AI46" s="43">
        <v>0.17100000000000001</v>
      </c>
      <c r="AJ46" s="40">
        <v>4</v>
      </c>
      <c r="AK46" s="40">
        <v>0.17</v>
      </c>
      <c r="AL46" s="40">
        <v>0</v>
      </c>
      <c r="AM46" s="43">
        <v>0</v>
      </c>
      <c r="AN46" s="40" t="str">
        <f t="shared" si="2"/>
        <v>WRONG!</v>
      </c>
    </row>
    <row r="47" spans="1:41" x14ac:dyDescent="0.3">
      <c r="A47" s="40" t="s">
        <v>53</v>
      </c>
      <c r="B47" s="40" t="s">
        <v>15</v>
      </c>
      <c r="C47" s="41">
        <v>41466</v>
      </c>
      <c r="D47" s="42">
        <v>1.5620000000000001</v>
      </c>
      <c r="E47" s="42">
        <v>1.5589999999999999</v>
      </c>
      <c r="F47" s="43" t="s">
        <v>1</v>
      </c>
      <c r="G47" s="43">
        <v>1</v>
      </c>
      <c r="H47" s="43" t="s">
        <v>74</v>
      </c>
      <c r="I47" s="43" t="s">
        <v>41</v>
      </c>
      <c r="J47" s="43">
        <v>4</v>
      </c>
      <c r="K47" s="40">
        <v>0.46600000000000003</v>
      </c>
      <c r="L47" s="40">
        <v>4</v>
      </c>
      <c r="M47" s="40">
        <v>0.40799999999999997</v>
      </c>
      <c r="N47" s="40">
        <v>0</v>
      </c>
      <c r="O47" s="45">
        <v>2</v>
      </c>
      <c r="P47" s="43" t="s">
        <v>78</v>
      </c>
      <c r="Q47" s="43" t="s">
        <v>44</v>
      </c>
      <c r="R47" s="43">
        <v>3</v>
      </c>
      <c r="S47" s="40">
        <v>0.50900000000000001</v>
      </c>
      <c r="T47" s="40">
        <v>3</v>
      </c>
      <c r="U47" s="40">
        <v>0.53400000000000003</v>
      </c>
      <c r="V47" s="40">
        <v>0</v>
      </c>
      <c r="W47" s="45">
        <v>3</v>
      </c>
      <c r="X47" s="43" t="s">
        <v>75</v>
      </c>
      <c r="Y47" s="43" t="s">
        <v>44</v>
      </c>
      <c r="Z47" s="40">
        <v>4</v>
      </c>
      <c r="AA47" s="40">
        <v>0.217</v>
      </c>
      <c r="AB47" s="40">
        <v>4</v>
      </c>
      <c r="AC47" s="40">
        <v>0.216</v>
      </c>
      <c r="AD47" s="40">
        <v>0</v>
      </c>
      <c r="AE47" s="45">
        <v>4</v>
      </c>
      <c r="AF47" s="43" t="s">
        <v>80</v>
      </c>
      <c r="AG47" s="40" t="s">
        <v>41</v>
      </c>
      <c r="AH47" s="40">
        <v>4</v>
      </c>
      <c r="AI47" s="43">
        <v>0.15</v>
      </c>
      <c r="AJ47" s="40">
        <v>4</v>
      </c>
      <c r="AK47" s="40">
        <v>0.157</v>
      </c>
      <c r="AL47" s="40">
        <v>0</v>
      </c>
      <c r="AM47" s="43">
        <v>0</v>
      </c>
      <c r="AN47" s="40" t="str">
        <f t="shared" si="2"/>
        <v>WRONG!</v>
      </c>
    </row>
    <row r="48" spans="1:41" s="32" customFormat="1" x14ac:dyDescent="0.3">
      <c r="A48" s="40" t="s">
        <v>57</v>
      </c>
      <c r="B48" s="40" t="s">
        <v>55</v>
      </c>
      <c r="C48" s="41">
        <v>41467</v>
      </c>
      <c r="D48" s="42">
        <v>0.28499999999999998</v>
      </c>
      <c r="E48" s="42">
        <v>0.27800000000000002</v>
      </c>
      <c r="F48" s="43" t="s">
        <v>61</v>
      </c>
      <c r="G48" s="43">
        <v>1</v>
      </c>
      <c r="H48" s="43" t="s">
        <v>48</v>
      </c>
      <c r="I48" s="43" t="s">
        <v>44</v>
      </c>
      <c r="J48" s="43">
        <v>3</v>
      </c>
      <c r="K48" s="40">
        <v>0.25800000000000001</v>
      </c>
      <c r="L48" s="40">
        <v>3</v>
      </c>
      <c r="M48" s="40">
        <v>0.20499999999999999</v>
      </c>
      <c r="N48" s="40">
        <v>0</v>
      </c>
      <c r="O48" s="45">
        <v>2</v>
      </c>
      <c r="P48" s="43" t="s">
        <v>46</v>
      </c>
      <c r="Q48" s="43" t="s">
        <v>41</v>
      </c>
      <c r="R48" s="43">
        <v>3</v>
      </c>
      <c r="S48" s="40">
        <v>0.20200000000000001</v>
      </c>
      <c r="T48" s="40">
        <v>3</v>
      </c>
      <c r="U48" s="40">
        <v>0.17499999999999999</v>
      </c>
      <c r="V48" s="40">
        <v>0</v>
      </c>
      <c r="W48" s="45">
        <v>3</v>
      </c>
      <c r="X48" s="43" t="s">
        <v>47</v>
      </c>
      <c r="Y48" s="43" t="s">
        <v>44</v>
      </c>
      <c r="Z48" s="40">
        <v>3</v>
      </c>
      <c r="AA48" s="40">
        <v>0.32500000000000001</v>
      </c>
      <c r="AB48" s="40">
        <v>3</v>
      </c>
      <c r="AC48" s="40">
        <v>0.29199999999999998</v>
      </c>
      <c r="AD48" s="40">
        <v>0</v>
      </c>
      <c r="AE48" s="45">
        <v>4</v>
      </c>
      <c r="AF48" s="43" t="s">
        <v>49</v>
      </c>
      <c r="AG48" s="40" t="s">
        <v>41</v>
      </c>
      <c r="AH48" s="40">
        <v>3</v>
      </c>
      <c r="AI48" s="40">
        <v>0.217</v>
      </c>
      <c r="AJ48" s="40">
        <v>3</v>
      </c>
      <c r="AK48" s="40">
        <v>0.19500000000000001</v>
      </c>
      <c r="AL48" s="40">
        <v>0</v>
      </c>
      <c r="AM48" s="43">
        <v>3.0000000000000001E-3</v>
      </c>
      <c r="AN48" s="40" t="str">
        <f t="shared" si="2"/>
        <v>WRONG!</v>
      </c>
    </row>
    <row r="49" spans="1:41" s="32" customFormat="1" x14ac:dyDescent="0.3">
      <c r="A49" s="40" t="s">
        <v>38</v>
      </c>
      <c r="B49" s="40" t="s">
        <v>15</v>
      </c>
      <c r="C49" s="41">
        <v>41467</v>
      </c>
      <c r="D49" s="42">
        <v>1.6779999999999999</v>
      </c>
      <c r="E49" s="42">
        <v>1.6639999999999999</v>
      </c>
      <c r="F49" s="43" t="s">
        <v>61</v>
      </c>
      <c r="G49" s="43">
        <v>1</v>
      </c>
      <c r="H49" s="43" t="s">
        <v>46</v>
      </c>
      <c r="I49" s="43" t="s">
        <v>41</v>
      </c>
      <c r="J49" s="43">
        <v>3</v>
      </c>
      <c r="K49" s="40">
        <v>0.35</v>
      </c>
      <c r="L49" s="40">
        <v>3</v>
      </c>
      <c r="M49" s="40">
        <v>0.31900000000000001</v>
      </c>
      <c r="N49" s="40">
        <v>0</v>
      </c>
      <c r="O49" s="45">
        <v>2</v>
      </c>
      <c r="P49" s="43" t="s">
        <v>43</v>
      </c>
      <c r="Q49" s="43" t="s">
        <v>41</v>
      </c>
      <c r="R49" s="43">
        <v>3</v>
      </c>
      <c r="S49" s="40">
        <v>0.375</v>
      </c>
      <c r="T49" s="40">
        <v>3</v>
      </c>
      <c r="U49" s="40">
        <v>0.28299999999999997</v>
      </c>
      <c r="V49" s="40">
        <v>0</v>
      </c>
      <c r="W49" s="45">
        <v>3</v>
      </c>
      <c r="X49" s="43" t="s">
        <v>45</v>
      </c>
      <c r="Y49" s="43" t="s">
        <v>44</v>
      </c>
      <c r="Z49" s="40">
        <v>3</v>
      </c>
      <c r="AA49" s="40">
        <v>0.35</v>
      </c>
      <c r="AB49" s="40">
        <v>3</v>
      </c>
      <c r="AC49" s="40">
        <v>0.312</v>
      </c>
      <c r="AD49" s="40">
        <v>0</v>
      </c>
      <c r="AE49" s="45">
        <v>4</v>
      </c>
      <c r="AF49" s="43" t="s">
        <v>47</v>
      </c>
      <c r="AG49" s="40" t="s">
        <v>44</v>
      </c>
      <c r="AH49" s="40">
        <v>3</v>
      </c>
      <c r="AI49" s="43">
        <v>0.22600000000000001</v>
      </c>
      <c r="AJ49" s="40">
        <v>3</v>
      </c>
      <c r="AK49" s="40">
        <v>0.222</v>
      </c>
      <c r="AL49" s="40">
        <v>0</v>
      </c>
      <c r="AM49" s="43">
        <v>0</v>
      </c>
      <c r="AN49" s="40" t="str">
        <f t="shared" si="2"/>
        <v>WRONG!</v>
      </c>
    </row>
    <row r="50" spans="1:41" s="32" customFormat="1" x14ac:dyDescent="0.3">
      <c r="A50" s="32" t="s">
        <v>87</v>
      </c>
      <c r="B50" s="32" t="s">
        <v>15</v>
      </c>
      <c r="C50" s="33">
        <v>41467</v>
      </c>
      <c r="D50" s="34">
        <v>1.012</v>
      </c>
      <c r="E50" s="34">
        <v>1.145</v>
      </c>
      <c r="F50" s="35" t="s">
        <v>61</v>
      </c>
      <c r="G50" s="35">
        <v>1</v>
      </c>
      <c r="H50" s="35" t="s">
        <v>51</v>
      </c>
      <c r="I50" s="35" t="s">
        <v>44</v>
      </c>
      <c r="J50" s="35">
        <v>3</v>
      </c>
      <c r="K50" s="32">
        <v>0.33600000000000002</v>
      </c>
      <c r="L50" s="32">
        <v>0</v>
      </c>
      <c r="M50" s="32">
        <v>0.108</v>
      </c>
      <c r="N50" s="32">
        <v>3</v>
      </c>
      <c r="O50" s="36">
        <v>2</v>
      </c>
      <c r="P50" s="35" t="s">
        <v>50</v>
      </c>
      <c r="Q50" s="35" t="s">
        <v>41</v>
      </c>
      <c r="R50" s="35">
        <v>3</v>
      </c>
      <c r="S50" s="32">
        <v>0.30199999999999999</v>
      </c>
      <c r="T50" s="32">
        <v>1</v>
      </c>
      <c r="U50" s="32">
        <v>0.18</v>
      </c>
      <c r="V50" s="32">
        <v>2</v>
      </c>
      <c r="W50" s="36">
        <v>3</v>
      </c>
      <c r="X50" s="35" t="s">
        <v>49</v>
      </c>
      <c r="Y50" s="35" t="s">
        <v>41</v>
      </c>
      <c r="Z50" s="32">
        <v>3</v>
      </c>
      <c r="AA50" s="32">
        <v>0.23200000000000001</v>
      </c>
      <c r="AB50" s="32">
        <v>2</v>
      </c>
      <c r="AC50" s="32">
        <v>0.19800000000000001</v>
      </c>
      <c r="AD50" s="32">
        <v>1</v>
      </c>
      <c r="AE50" s="36">
        <v>4</v>
      </c>
      <c r="AF50" s="35" t="s">
        <v>48</v>
      </c>
      <c r="AG50" s="32" t="s">
        <v>44</v>
      </c>
      <c r="AH50" s="32">
        <v>3</v>
      </c>
      <c r="AI50" s="35">
        <v>0.20200000000000001</v>
      </c>
      <c r="AJ50" s="32">
        <v>3</v>
      </c>
      <c r="AK50" s="32">
        <v>0.151</v>
      </c>
      <c r="AL50" s="32">
        <v>0</v>
      </c>
      <c r="AM50" s="35">
        <v>0.08</v>
      </c>
      <c r="AN50" s="32" t="str">
        <f t="shared" si="2"/>
        <v>ok</v>
      </c>
    </row>
    <row r="51" spans="1:41" s="32" customFormat="1" x14ac:dyDescent="0.3">
      <c r="A51" s="32" t="s">
        <v>88</v>
      </c>
      <c r="B51" s="32" t="s">
        <v>15</v>
      </c>
      <c r="C51" s="33">
        <v>41467</v>
      </c>
      <c r="D51" s="34">
        <v>1.4339999999999999</v>
      </c>
      <c r="E51" s="34">
        <v>1.4239999999999999</v>
      </c>
      <c r="F51" s="35" t="s">
        <v>61</v>
      </c>
      <c r="G51" s="35">
        <v>1</v>
      </c>
      <c r="H51" s="35" t="s">
        <v>45</v>
      </c>
      <c r="I51" s="35" t="s">
        <v>44</v>
      </c>
      <c r="J51" s="35">
        <v>3</v>
      </c>
      <c r="K51" s="32">
        <v>0.215</v>
      </c>
      <c r="L51" s="32">
        <v>3</v>
      </c>
      <c r="M51" s="32">
        <v>0.21299999999999999</v>
      </c>
      <c r="N51" s="32">
        <v>0</v>
      </c>
      <c r="O51" s="36">
        <v>2</v>
      </c>
      <c r="P51" s="35" t="s">
        <v>48</v>
      </c>
      <c r="Q51" s="35" t="s">
        <v>44</v>
      </c>
      <c r="R51" s="35">
        <v>2</v>
      </c>
      <c r="S51" s="32">
        <v>0.35299999999999998</v>
      </c>
      <c r="T51" s="32">
        <v>2</v>
      </c>
      <c r="U51" s="32">
        <v>0.313</v>
      </c>
      <c r="V51" s="32">
        <v>0</v>
      </c>
      <c r="W51" s="36">
        <v>3</v>
      </c>
      <c r="X51" s="35" t="s">
        <v>43</v>
      </c>
      <c r="Y51" s="35" t="s">
        <v>41</v>
      </c>
      <c r="Z51" s="32">
        <v>3</v>
      </c>
      <c r="AA51" s="32">
        <v>0.23300000000000001</v>
      </c>
      <c r="AB51" s="32">
        <v>2</v>
      </c>
      <c r="AC51" s="32">
        <v>0.154</v>
      </c>
      <c r="AD51" s="32">
        <v>1</v>
      </c>
      <c r="AE51" s="36">
        <v>4</v>
      </c>
      <c r="AF51" s="35" t="s">
        <v>49</v>
      </c>
      <c r="AG51" s="32" t="s">
        <v>41</v>
      </c>
      <c r="AH51" s="32">
        <v>3</v>
      </c>
      <c r="AI51" s="35">
        <v>0.151</v>
      </c>
      <c r="AJ51" s="32">
        <v>3</v>
      </c>
      <c r="AK51" s="32">
        <v>0.153</v>
      </c>
      <c r="AL51" s="32">
        <v>0</v>
      </c>
      <c r="AM51" s="35">
        <v>0</v>
      </c>
      <c r="AN51" s="32" t="str">
        <f t="shared" si="2"/>
        <v>ok</v>
      </c>
    </row>
    <row r="52" spans="1:41" s="40" customFormat="1" x14ac:dyDescent="0.3">
      <c r="A52" s="40" t="s">
        <v>85</v>
      </c>
      <c r="B52" s="40" t="s">
        <v>15</v>
      </c>
      <c r="C52" s="41">
        <v>41468</v>
      </c>
      <c r="D52" s="42">
        <v>1.4830000000000001</v>
      </c>
      <c r="E52" s="42">
        <v>1.4750000000000001</v>
      </c>
      <c r="F52" s="43" t="s">
        <v>1</v>
      </c>
      <c r="G52" s="43">
        <v>1</v>
      </c>
      <c r="H52" s="43" t="s">
        <v>47</v>
      </c>
      <c r="I52" s="43" t="s">
        <v>44</v>
      </c>
      <c r="J52" s="43">
        <v>4</v>
      </c>
      <c r="K52" s="40">
        <v>0.26700000000000002</v>
      </c>
      <c r="L52" s="40">
        <v>4</v>
      </c>
      <c r="M52" s="40">
        <v>0.30499999999999999</v>
      </c>
      <c r="N52" s="40">
        <v>0</v>
      </c>
      <c r="O52" s="45">
        <v>2</v>
      </c>
      <c r="P52" s="43" t="s">
        <v>49</v>
      </c>
      <c r="Q52" s="43" t="s">
        <v>41</v>
      </c>
      <c r="R52" s="43">
        <v>3</v>
      </c>
      <c r="S52" s="40">
        <v>0.29799999999999999</v>
      </c>
      <c r="T52" s="40">
        <v>3</v>
      </c>
      <c r="U52" s="40">
        <v>0.30499999999999999</v>
      </c>
      <c r="V52" s="40">
        <v>0</v>
      </c>
      <c r="W52" s="45">
        <v>3</v>
      </c>
      <c r="X52" s="43" t="s">
        <v>48</v>
      </c>
      <c r="Y52" s="43" t="s">
        <v>44</v>
      </c>
      <c r="Z52" s="40">
        <v>4</v>
      </c>
      <c r="AA52" s="40">
        <v>0.105</v>
      </c>
      <c r="AB52" s="40">
        <v>4</v>
      </c>
      <c r="AC52" s="40">
        <v>0.111</v>
      </c>
      <c r="AD52" s="40">
        <v>0</v>
      </c>
      <c r="AE52" s="45">
        <v>4</v>
      </c>
      <c r="AF52" s="43" t="s">
        <v>46</v>
      </c>
      <c r="AG52" s="40" t="s">
        <v>41</v>
      </c>
      <c r="AH52" s="40">
        <v>3</v>
      </c>
      <c r="AI52" s="43">
        <v>0.46600000000000003</v>
      </c>
      <c r="AJ52" s="40">
        <v>3</v>
      </c>
      <c r="AK52" s="40">
        <v>0.45100000000000001</v>
      </c>
      <c r="AL52" s="40">
        <v>0</v>
      </c>
      <c r="AM52" s="43">
        <v>0</v>
      </c>
      <c r="AN52" s="40" t="str">
        <f t="shared" si="2"/>
        <v>WRONG!</v>
      </c>
    </row>
    <row r="53" spans="1:41" s="32" customFormat="1" x14ac:dyDescent="0.3">
      <c r="A53" s="40" t="s">
        <v>64</v>
      </c>
      <c r="B53" s="40" t="s">
        <v>15</v>
      </c>
      <c r="C53" s="41">
        <v>41468</v>
      </c>
      <c r="D53" s="42">
        <v>1.3009999999999999</v>
      </c>
      <c r="E53" s="42">
        <v>1.2909999999999999</v>
      </c>
      <c r="F53" s="43" t="s">
        <v>1</v>
      </c>
      <c r="G53" s="43">
        <v>1</v>
      </c>
      <c r="H53" s="43" t="s">
        <v>50</v>
      </c>
      <c r="I53" s="43" t="s">
        <v>92</v>
      </c>
      <c r="J53" s="43">
        <v>4</v>
      </c>
      <c r="K53" s="40">
        <v>0.314</v>
      </c>
      <c r="L53" s="40">
        <v>4</v>
      </c>
      <c r="M53" s="40">
        <v>0.31900000000000001</v>
      </c>
      <c r="N53" s="40">
        <v>0</v>
      </c>
      <c r="O53" s="45">
        <v>2</v>
      </c>
      <c r="P53" s="43" t="s">
        <v>49</v>
      </c>
      <c r="Q53" s="43" t="s">
        <v>41</v>
      </c>
      <c r="R53" s="43">
        <v>3</v>
      </c>
      <c r="S53" s="40">
        <v>0.28499999999999998</v>
      </c>
      <c r="T53" s="40">
        <v>3</v>
      </c>
      <c r="U53" s="40">
        <v>0.28999999999999998</v>
      </c>
      <c r="V53" s="40">
        <v>0</v>
      </c>
      <c r="W53" s="45">
        <v>3</v>
      </c>
      <c r="X53" s="43" t="s">
        <v>48</v>
      </c>
      <c r="Y53" s="43" t="s">
        <v>44</v>
      </c>
      <c r="Z53" s="40">
        <v>6</v>
      </c>
      <c r="AA53" s="40">
        <v>0.33</v>
      </c>
      <c r="AB53" s="40">
        <v>6</v>
      </c>
      <c r="AC53" s="40">
        <v>0.308</v>
      </c>
      <c r="AD53" s="40">
        <v>0</v>
      </c>
      <c r="AE53" s="45">
        <v>4</v>
      </c>
      <c r="AF53" s="43" t="s">
        <v>51</v>
      </c>
      <c r="AG53" s="40" t="s">
        <v>44</v>
      </c>
      <c r="AH53" s="40">
        <v>5</v>
      </c>
      <c r="AI53" s="43">
        <v>0.188</v>
      </c>
      <c r="AJ53" s="40">
        <v>5</v>
      </c>
      <c r="AK53" s="40">
        <v>0.17599999999999999</v>
      </c>
      <c r="AL53" s="40">
        <v>0</v>
      </c>
      <c r="AM53" s="43">
        <v>0</v>
      </c>
      <c r="AN53" s="40" t="str">
        <f t="shared" si="2"/>
        <v>WRONG!</v>
      </c>
    </row>
    <row r="54" spans="1:41" s="32" customFormat="1" x14ac:dyDescent="0.3">
      <c r="A54" s="40" t="s">
        <v>65</v>
      </c>
      <c r="B54" s="40" t="s">
        <v>15</v>
      </c>
      <c r="C54" s="41">
        <v>41468</v>
      </c>
      <c r="D54" s="42">
        <v>0.94699999999999995</v>
      </c>
      <c r="E54" s="42">
        <v>0.93100000000000005</v>
      </c>
      <c r="F54" s="43" t="s">
        <v>1</v>
      </c>
      <c r="G54" s="43">
        <v>1</v>
      </c>
      <c r="H54" s="43" t="s">
        <v>51</v>
      </c>
      <c r="I54" s="43" t="s">
        <v>44</v>
      </c>
      <c r="J54" s="43">
        <v>4</v>
      </c>
      <c r="K54" s="40">
        <v>0.185</v>
      </c>
      <c r="L54" s="40">
        <v>5</v>
      </c>
      <c r="M54" s="40">
        <v>0.13200000000000001</v>
      </c>
      <c r="N54" s="40">
        <v>0</v>
      </c>
      <c r="O54" s="45">
        <v>2</v>
      </c>
      <c r="P54" s="43" t="s">
        <v>45</v>
      </c>
      <c r="Q54" s="43" t="s">
        <v>44</v>
      </c>
      <c r="R54" s="43">
        <v>3</v>
      </c>
      <c r="S54" s="40">
        <v>0.20300000000000001</v>
      </c>
      <c r="T54" s="40">
        <v>3</v>
      </c>
      <c r="U54" s="40">
        <v>0.19700000000000001</v>
      </c>
      <c r="V54" s="40">
        <v>0</v>
      </c>
      <c r="W54" s="45">
        <v>3</v>
      </c>
      <c r="X54" s="43" t="s">
        <v>50</v>
      </c>
      <c r="Y54" s="43" t="s">
        <v>41</v>
      </c>
      <c r="Z54" s="40">
        <v>5</v>
      </c>
      <c r="AA54" s="40">
        <v>0.25</v>
      </c>
      <c r="AB54" s="40">
        <v>5</v>
      </c>
      <c r="AC54" s="40">
        <v>0.248</v>
      </c>
      <c r="AD54" s="40">
        <v>0</v>
      </c>
      <c r="AE54" s="45">
        <v>4</v>
      </c>
      <c r="AF54" s="43" t="s">
        <v>43</v>
      </c>
      <c r="AG54" s="40" t="s">
        <v>41</v>
      </c>
      <c r="AH54" s="40">
        <v>4</v>
      </c>
      <c r="AI54" s="43">
        <v>0.23</v>
      </c>
      <c r="AJ54" s="40">
        <v>4</v>
      </c>
      <c r="AK54" s="40">
        <v>0.23200000000000001</v>
      </c>
      <c r="AL54" s="40">
        <v>0</v>
      </c>
      <c r="AM54" s="43">
        <v>0</v>
      </c>
      <c r="AN54" s="40" t="str">
        <f t="shared" si="2"/>
        <v>WRONG!</v>
      </c>
    </row>
    <row r="55" spans="1:41" s="32" customFormat="1" x14ac:dyDescent="0.3">
      <c r="A55" s="40" t="s">
        <v>53</v>
      </c>
      <c r="B55" s="40" t="s">
        <v>15</v>
      </c>
      <c r="C55" s="41">
        <v>41468</v>
      </c>
      <c r="D55" s="42">
        <v>1.55</v>
      </c>
      <c r="E55" s="42">
        <v>1.54</v>
      </c>
      <c r="F55" s="43" t="s">
        <v>1</v>
      </c>
      <c r="G55" s="43">
        <v>1</v>
      </c>
      <c r="H55" s="43" t="s">
        <v>46</v>
      </c>
      <c r="I55" s="43" t="s">
        <v>41</v>
      </c>
      <c r="J55" s="43">
        <v>4</v>
      </c>
      <c r="K55" s="40">
        <v>0.191</v>
      </c>
      <c r="L55" s="40">
        <v>4</v>
      </c>
      <c r="M55" s="40">
        <v>0.16200000000000001</v>
      </c>
      <c r="N55" s="40">
        <v>0</v>
      </c>
      <c r="O55" s="45">
        <v>2</v>
      </c>
      <c r="P55" s="43" t="s">
        <v>45</v>
      </c>
      <c r="Q55" s="43" t="s">
        <v>44</v>
      </c>
      <c r="R55" s="43">
        <v>4</v>
      </c>
      <c r="S55" s="40">
        <v>0.30499999999999999</v>
      </c>
      <c r="T55" s="40">
        <v>4</v>
      </c>
      <c r="U55" s="40">
        <v>0.29199999999999998</v>
      </c>
      <c r="V55" s="40">
        <v>0</v>
      </c>
      <c r="W55" s="45">
        <v>3</v>
      </c>
      <c r="X55" s="43" t="s">
        <v>43</v>
      </c>
      <c r="Y55" s="43" t="s">
        <v>41</v>
      </c>
      <c r="Z55" s="40">
        <v>4</v>
      </c>
      <c r="AA55" s="40">
        <v>0.27200000000000002</v>
      </c>
      <c r="AB55" s="40">
        <v>4</v>
      </c>
      <c r="AC55" s="40">
        <v>0.26600000000000001</v>
      </c>
      <c r="AD55" s="40">
        <v>0</v>
      </c>
      <c r="AE55" s="45">
        <v>4</v>
      </c>
      <c r="AF55" s="43" t="s">
        <v>47</v>
      </c>
      <c r="AG55" s="40" t="s">
        <v>44</v>
      </c>
      <c r="AH55" s="40">
        <v>3</v>
      </c>
      <c r="AI55" s="43">
        <v>0.19800000000000001</v>
      </c>
      <c r="AJ55" s="40">
        <v>3</v>
      </c>
      <c r="AK55" s="40">
        <v>0.20399999999999999</v>
      </c>
      <c r="AL55" s="40">
        <v>0</v>
      </c>
      <c r="AM55" s="43">
        <v>0</v>
      </c>
      <c r="AN55" s="40" t="str">
        <f t="shared" si="2"/>
        <v>WRONG!</v>
      </c>
    </row>
    <row r="56" spans="1:41" x14ac:dyDescent="0.3">
      <c r="A56" s="40" t="s">
        <v>57</v>
      </c>
      <c r="B56" s="40" t="s">
        <v>55</v>
      </c>
      <c r="C56" s="41">
        <v>41469</v>
      </c>
      <c r="D56" s="42">
        <v>0.26800000000000002</v>
      </c>
      <c r="E56" s="42">
        <v>0.27</v>
      </c>
      <c r="F56" s="43" t="s">
        <v>1</v>
      </c>
      <c r="G56" s="43">
        <v>1</v>
      </c>
      <c r="H56" s="43" t="s">
        <v>47</v>
      </c>
      <c r="I56" s="43" t="s">
        <v>44</v>
      </c>
      <c r="J56" s="43">
        <v>3</v>
      </c>
      <c r="K56" s="40">
        <v>0.28199999999999997</v>
      </c>
      <c r="L56" s="40">
        <v>3</v>
      </c>
      <c r="M56" s="40">
        <v>0.23</v>
      </c>
      <c r="N56" s="40">
        <v>0</v>
      </c>
      <c r="O56" s="45">
        <v>2</v>
      </c>
      <c r="P56" s="43" t="s">
        <v>48</v>
      </c>
      <c r="Q56" s="43" t="s">
        <v>44</v>
      </c>
      <c r="R56" s="43">
        <v>3</v>
      </c>
      <c r="S56" s="40">
        <v>0.63700000000000001</v>
      </c>
      <c r="T56" s="40">
        <v>3</v>
      </c>
      <c r="U56" s="40">
        <v>0.48399999999999999</v>
      </c>
      <c r="V56" s="40">
        <v>0</v>
      </c>
      <c r="W56" s="45">
        <v>3</v>
      </c>
      <c r="X56" s="43" t="s">
        <v>49</v>
      </c>
      <c r="Y56" s="43" t="s">
        <v>41</v>
      </c>
      <c r="Z56" s="40">
        <v>4</v>
      </c>
      <c r="AA56" s="40">
        <v>0.38700000000000001</v>
      </c>
      <c r="AB56" s="40">
        <v>4</v>
      </c>
      <c r="AC56" s="40">
        <v>0.41399999999999998</v>
      </c>
      <c r="AD56" s="40">
        <v>0</v>
      </c>
      <c r="AE56" s="45">
        <v>4</v>
      </c>
      <c r="AF56" s="43" t="s">
        <v>46</v>
      </c>
      <c r="AG56" s="40" t="s">
        <v>41</v>
      </c>
      <c r="AH56" s="40">
        <v>4</v>
      </c>
      <c r="AI56" s="43">
        <v>0.22800000000000001</v>
      </c>
      <c r="AJ56" s="40">
        <v>4</v>
      </c>
      <c r="AK56" s="40">
        <v>0.21099999999999999</v>
      </c>
      <c r="AL56" s="40">
        <v>0</v>
      </c>
      <c r="AM56" s="43">
        <v>0</v>
      </c>
      <c r="AN56" s="40" t="str">
        <f t="shared" si="2"/>
        <v>WRONG!</v>
      </c>
    </row>
    <row r="57" spans="1:41" x14ac:dyDescent="0.3">
      <c r="A57" s="40" t="s">
        <v>37</v>
      </c>
      <c r="B57" s="40" t="s">
        <v>15</v>
      </c>
      <c r="C57" s="41">
        <v>41469</v>
      </c>
      <c r="D57" s="42">
        <v>1.5760000000000001</v>
      </c>
      <c r="E57" s="42">
        <v>1.5720000000000001</v>
      </c>
      <c r="F57" s="43" t="s">
        <v>1</v>
      </c>
      <c r="G57" s="43">
        <v>1</v>
      </c>
      <c r="H57" s="43" t="s">
        <v>50</v>
      </c>
      <c r="I57" s="43" t="s">
        <v>41</v>
      </c>
      <c r="J57" s="43">
        <v>4</v>
      </c>
      <c r="K57" s="40">
        <v>0.314</v>
      </c>
      <c r="L57" s="40">
        <v>4</v>
      </c>
      <c r="M57" s="40">
        <v>0.33</v>
      </c>
      <c r="N57" s="40">
        <v>0</v>
      </c>
      <c r="O57" s="45">
        <v>2</v>
      </c>
      <c r="P57" s="43" t="s">
        <v>49</v>
      </c>
      <c r="Q57" s="43" t="s">
        <v>41</v>
      </c>
      <c r="R57" s="43">
        <v>5</v>
      </c>
      <c r="S57" s="40">
        <v>0.26600000000000001</v>
      </c>
      <c r="T57" s="40">
        <v>5</v>
      </c>
      <c r="U57" s="40">
        <v>0.29799999999999999</v>
      </c>
      <c r="V57" s="40">
        <v>0</v>
      </c>
      <c r="W57" s="45">
        <v>3</v>
      </c>
      <c r="X57" s="43" t="s">
        <v>51</v>
      </c>
      <c r="Y57" s="43" t="s">
        <v>44</v>
      </c>
      <c r="Z57" s="40">
        <v>5</v>
      </c>
      <c r="AA57" s="40">
        <v>0.35099999999999998</v>
      </c>
      <c r="AB57" s="40">
        <v>5</v>
      </c>
      <c r="AC57" s="40">
        <v>0.35899999999999999</v>
      </c>
      <c r="AD57" s="40">
        <v>0</v>
      </c>
      <c r="AE57" s="45">
        <v>4</v>
      </c>
      <c r="AF57" s="43" t="s">
        <v>48</v>
      </c>
      <c r="AG57" s="40" t="s">
        <v>44</v>
      </c>
      <c r="AH57" s="40">
        <v>3</v>
      </c>
      <c r="AI57" s="43">
        <v>0.26400000000000001</v>
      </c>
      <c r="AJ57" s="40">
        <v>3</v>
      </c>
      <c r="AK57" s="40">
        <v>0.27200000000000002</v>
      </c>
      <c r="AL57" s="40">
        <v>0</v>
      </c>
      <c r="AM57" s="43">
        <v>0</v>
      </c>
      <c r="AN57" s="40" t="str">
        <f t="shared" si="2"/>
        <v>WRONG!</v>
      </c>
    </row>
    <row r="58" spans="1:41" x14ac:dyDescent="0.3">
      <c r="A58" s="40" t="s">
        <v>38</v>
      </c>
      <c r="B58" s="40" t="s">
        <v>15</v>
      </c>
      <c r="C58" s="41">
        <v>41469</v>
      </c>
      <c r="D58" s="42">
        <v>1.6479999999999999</v>
      </c>
      <c r="E58" s="42">
        <v>1.6279999999999999</v>
      </c>
      <c r="F58" s="43" t="s">
        <v>1</v>
      </c>
      <c r="G58" s="43">
        <v>1</v>
      </c>
      <c r="H58" s="43" t="s">
        <v>51</v>
      </c>
      <c r="I58" s="43" t="s">
        <v>44</v>
      </c>
      <c r="J58" s="43">
        <v>5</v>
      </c>
      <c r="K58" s="40">
        <v>0.16800000000000001</v>
      </c>
      <c r="L58" s="40">
        <v>5</v>
      </c>
      <c r="M58" s="40">
        <v>0.17299999999999999</v>
      </c>
      <c r="N58" s="40">
        <v>0</v>
      </c>
      <c r="O58" s="45">
        <v>2</v>
      </c>
      <c r="P58" s="43" t="s">
        <v>43</v>
      </c>
      <c r="Q58" s="43" t="s">
        <v>41</v>
      </c>
      <c r="R58" s="43">
        <v>3</v>
      </c>
      <c r="S58" s="40">
        <v>0.33600000000000002</v>
      </c>
      <c r="T58" s="40">
        <v>3</v>
      </c>
      <c r="U58" s="40">
        <v>0.307</v>
      </c>
      <c r="V58" s="40">
        <v>0</v>
      </c>
      <c r="W58" s="45">
        <v>3</v>
      </c>
      <c r="X58" s="43" t="s">
        <v>50</v>
      </c>
      <c r="Y58" s="43" t="s">
        <v>41</v>
      </c>
      <c r="Z58" s="40">
        <v>3</v>
      </c>
      <c r="AA58" s="40">
        <v>0.40899999999999997</v>
      </c>
      <c r="AB58" s="40">
        <v>3</v>
      </c>
      <c r="AC58" s="40">
        <v>0.41199999999999998</v>
      </c>
      <c r="AD58" s="40">
        <v>0</v>
      </c>
      <c r="AE58" s="45">
        <v>4</v>
      </c>
      <c r="AF58" s="43" t="s">
        <v>45</v>
      </c>
      <c r="AG58" s="40" t="s">
        <v>44</v>
      </c>
      <c r="AH58" s="40">
        <v>4</v>
      </c>
      <c r="AI58" s="43">
        <v>0.33800000000000002</v>
      </c>
      <c r="AJ58" s="40">
        <v>4</v>
      </c>
      <c r="AK58" s="40">
        <v>0.318</v>
      </c>
      <c r="AL58" s="40">
        <v>0</v>
      </c>
      <c r="AM58" s="43">
        <v>0</v>
      </c>
      <c r="AN58" s="40" t="str">
        <f t="shared" si="2"/>
        <v>WRONG!</v>
      </c>
    </row>
    <row r="59" spans="1:41" x14ac:dyDescent="0.3">
      <c r="A59" s="40" t="s">
        <v>66</v>
      </c>
      <c r="B59" s="40" t="s">
        <v>15</v>
      </c>
      <c r="C59" s="41">
        <v>41469</v>
      </c>
      <c r="D59" s="42">
        <v>0.94599999999999995</v>
      </c>
      <c r="E59" s="42">
        <v>0.93</v>
      </c>
      <c r="F59" s="43" t="s">
        <v>1</v>
      </c>
      <c r="G59" s="43">
        <v>1</v>
      </c>
      <c r="H59" s="43" t="s">
        <v>46</v>
      </c>
      <c r="I59" s="43" t="s">
        <v>41</v>
      </c>
      <c r="J59" s="43">
        <v>5</v>
      </c>
      <c r="K59" s="40">
        <v>0.5</v>
      </c>
      <c r="L59" s="40">
        <v>5</v>
      </c>
      <c r="M59" s="40">
        <v>0.35899999999999999</v>
      </c>
      <c r="N59" s="40">
        <v>0</v>
      </c>
      <c r="O59" s="45">
        <v>2</v>
      </c>
      <c r="P59" s="43" t="s">
        <v>47</v>
      </c>
      <c r="Q59" s="43" t="s">
        <v>44</v>
      </c>
      <c r="R59" s="43">
        <v>3</v>
      </c>
      <c r="S59" s="40">
        <v>0.372</v>
      </c>
      <c r="T59" s="40">
        <v>3</v>
      </c>
      <c r="U59" s="40">
        <v>0.35699999999999998</v>
      </c>
      <c r="V59" s="40">
        <v>0</v>
      </c>
      <c r="W59" s="45">
        <v>3</v>
      </c>
      <c r="X59" s="43" t="s">
        <v>43</v>
      </c>
      <c r="Y59" s="43" t="s">
        <v>41</v>
      </c>
      <c r="Z59" s="40">
        <v>3</v>
      </c>
      <c r="AA59" s="40">
        <v>0.20799999999999999</v>
      </c>
      <c r="AB59" s="40">
        <v>3</v>
      </c>
      <c r="AC59" s="40">
        <v>0.224</v>
      </c>
      <c r="AD59" s="40">
        <v>0</v>
      </c>
      <c r="AE59" s="45">
        <v>4</v>
      </c>
      <c r="AF59" s="43" t="s">
        <v>45</v>
      </c>
      <c r="AG59" s="40" t="s">
        <v>44</v>
      </c>
      <c r="AH59" s="40">
        <v>4</v>
      </c>
      <c r="AI59" s="43">
        <v>0.128</v>
      </c>
      <c r="AJ59" s="40">
        <v>4</v>
      </c>
      <c r="AK59" s="40">
        <v>0.13700000000000001</v>
      </c>
      <c r="AL59" s="40">
        <v>0</v>
      </c>
      <c r="AM59" s="43">
        <v>0</v>
      </c>
      <c r="AN59" s="40" t="str">
        <f t="shared" si="2"/>
        <v>WRONG!</v>
      </c>
    </row>
    <row r="60" spans="1:41" x14ac:dyDescent="0.3">
      <c r="A60" s="32" t="s">
        <v>56</v>
      </c>
      <c r="B60" s="32" t="s">
        <v>15</v>
      </c>
      <c r="C60" s="33">
        <v>41470</v>
      </c>
      <c r="D60" s="12">
        <v>0.33100000000000002</v>
      </c>
      <c r="E60" s="12">
        <v>0.438</v>
      </c>
      <c r="F60" s="1" t="s">
        <v>1</v>
      </c>
      <c r="G60" s="35">
        <v>1</v>
      </c>
      <c r="H60" s="1" t="s">
        <v>47</v>
      </c>
      <c r="I60" s="1" t="s">
        <v>44</v>
      </c>
      <c r="J60" s="1">
        <v>5</v>
      </c>
      <c r="K60" s="32">
        <v>0.435</v>
      </c>
      <c r="L60" s="32">
        <v>2</v>
      </c>
      <c r="M60" s="32">
        <v>0.42</v>
      </c>
      <c r="N60" s="32">
        <v>2</v>
      </c>
      <c r="O60" s="36">
        <v>2</v>
      </c>
      <c r="P60" s="1" t="s">
        <v>49</v>
      </c>
      <c r="Q60" s="1" t="s">
        <v>41</v>
      </c>
      <c r="R60" s="1">
        <v>4</v>
      </c>
      <c r="S60" s="32">
        <v>0.215</v>
      </c>
      <c r="T60" s="32">
        <v>1</v>
      </c>
      <c r="U60" s="32">
        <v>0.19800000000000001</v>
      </c>
      <c r="V60" s="32">
        <v>1</v>
      </c>
      <c r="W60" s="36">
        <v>3</v>
      </c>
      <c r="X60" s="1" t="s">
        <v>48</v>
      </c>
      <c r="Y60" s="1" t="s">
        <v>44</v>
      </c>
      <c r="Z60" s="32">
        <v>4</v>
      </c>
      <c r="AA60" s="32">
        <v>0.254</v>
      </c>
      <c r="AB60" s="32">
        <v>1</v>
      </c>
      <c r="AC60" s="32">
        <v>0.219</v>
      </c>
      <c r="AD60" s="32">
        <v>3</v>
      </c>
      <c r="AE60" s="36">
        <v>4</v>
      </c>
      <c r="AF60" s="1" t="s">
        <v>46</v>
      </c>
      <c r="AG60" s="32" t="s">
        <v>41</v>
      </c>
      <c r="AH60" s="32">
        <v>5</v>
      </c>
      <c r="AI60" s="1">
        <v>0.39500000000000002</v>
      </c>
      <c r="AJ60" s="32">
        <v>3</v>
      </c>
      <c r="AK60" s="32">
        <v>0.30199999999999999</v>
      </c>
      <c r="AL60" s="32">
        <v>2</v>
      </c>
      <c r="AM60" s="1">
        <v>1.9E-2</v>
      </c>
      <c r="AN60" t="str">
        <f t="shared" si="2"/>
        <v>ok</v>
      </c>
      <c r="AO60" t="s">
        <v>93</v>
      </c>
    </row>
    <row r="61" spans="1:41" x14ac:dyDescent="0.3">
      <c r="A61" s="40" t="s">
        <v>64</v>
      </c>
      <c r="B61" s="40" t="s">
        <v>15</v>
      </c>
      <c r="C61" s="41">
        <v>41470</v>
      </c>
      <c r="D61" s="42">
        <v>1.274</v>
      </c>
      <c r="E61" s="42">
        <v>1.26</v>
      </c>
      <c r="F61" s="43" t="s">
        <v>1</v>
      </c>
      <c r="G61" s="43">
        <v>1</v>
      </c>
      <c r="H61" s="43" t="s">
        <v>50</v>
      </c>
      <c r="I61" s="43" t="s">
        <v>41</v>
      </c>
      <c r="J61" s="43">
        <v>8</v>
      </c>
      <c r="K61" s="40">
        <v>0.20599999999999999</v>
      </c>
      <c r="L61" s="40">
        <v>8</v>
      </c>
      <c r="M61" s="40">
        <v>0.19800000000000001</v>
      </c>
      <c r="N61" s="40">
        <v>0</v>
      </c>
      <c r="O61" s="45">
        <v>2</v>
      </c>
      <c r="P61" s="43" t="s">
        <v>49</v>
      </c>
      <c r="Q61" s="43" t="s">
        <v>41</v>
      </c>
      <c r="R61" s="43">
        <v>4</v>
      </c>
      <c r="S61" s="40">
        <v>0.20599999999999999</v>
      </c>
      <c r="T61" s="40">
        <v>4</v>
      </c>
      <c r="U61" s="40">
        <v>0.23300000000000001</v>
      </c>
      <c r="V61" s="40">
        <v>0</v>
      </c>
      <c r="W61" s="45">
        <v>3</v>
      </c>
      <c r="X61" s="43" t="s">
        <v>51</v>
      </c>
      <c r="Y61" s="43" t="s">
        <v>44</v>
      </c>
      <c r="Z61" s="40">
        <v>4</v>
      </c>
      <c r="AA61" s="40">
        <v>0.35499999999999998</v>
      </c>
      <c r="AB61" s="40">
        <v>4</v>
      </c>
      <c r="AC61" s="40">
        <v>0.28100000000000003</v>
      </c>
      <c r="AD61" s="40">
        <v>0</v>
      </c>
      <c r="AE61" s="45">
        <v>4</v>
      </c>
      <c r="AF61" s="43" t="s">
        <v>48</v>
      </c>
      <c r="AG61" s="40" t="s">
        <v>44</v>
      </c>
      <c r="AH61" s="40">
        <v>4</v>
      </c>
      <c r="AI61" s="43">
        <v>0.251</v>
      </c>
      <c r="AJ61" s="40">
        <v>4</v>
      </c>
      <c r="AK61" s="40">
        <v>0.2</v>
      </c>
      <c r="AL61" s="40">
        <v>0</v>
      </c>
      <c r="AM61" s="43">
        <v>0</v>
      </c>
      <c r="AN61" s="40" t="str">
        <f t="shared" si="2"/>
        <v>WRONG!</v>
      </c>
    </row>
    <row r="62" spans="1:41" x14ac:dyDescent="0.3">
      <c r="A62" s="40" t="s">
        <v>65</v>
      </c>
      <c r="B62" s="40" t="s">
        <v>15</v>
      </c>
      <c r="C62" s="41">
        <v>41470</v>
      </c>
      <c r="D62" s="42">
        <v>0.92300000000000004</v>
      </c>
      <c r="E62" s="42">
        <v>0.89100000000000001</v>
      </c>
      <c r="F62" s="43" t="s">
        <v>1</v>
      </c>
      <c r="G62" s="43">
        <v>1</v>
      </c>
      <c r="H62" s="43" t="s">
        <v>43</v>
      </c>
      <c r="I62" s="43" t="s">
        <v>41</v>
      </c>
      <c r="J62" s="43">
        <v>5</v>
      </c>
      <c r="K62" s="40">
        <v>0.32800000000000001</v>
      </c>
      <c r="L62" s="40">
        <v>5</v>
      </c>
      <c r="M62" s="40">
        <v>0.33900000000000002</v>
      </c>
      <c r="N62" s="40">
        <v>0</v>
      </c>
      <c r="O62" s="45">
        <v>2</v>
      </c>
      <c r="P62" s="43" t="s">
        <v>51</v>
      </c>
      <c r="Q62" s="43" t="s">
        <v>44</v>
      </c>
      <c r="R62" s="43">
        <v>4</v>
      </c>
      <c r="S62" s="40">
        <v>0.159</v>
      </c>
      <c r="T62" s="40">
        <v>4</v>
      </c>
      <c r="U62" s="40">
        <v>0.15</v>
      </c>
      <c r="V62" s="40">
        <v>0</v>
      </c>
      <c r="W62" s="45">
        <v>3</v>
      </c>
      <c r="X62" s="43" t="s">
        <v>45</v>
      </c>
      <c r="Y62" s="43" t="s">
        <v>44</v>
      </c>
      <c r="Z62" s="40">
        <v>4</v>
      </c>
      <c r="AA62" s="40">
        <v>0.30299999999999999</v>
      </c>
      <c r="AB62" s="40">
        <v>4</v>
      </c>
      <c r="AC62" s="40">
        <v>0.24</v>
      </c>
      <c r="AD62" s="40">
        <v>0</v>
      </c>
      <c r="AE62" s="45">
        <v>4</v>
      </c>
      <c r="AF62" s="43" t="s">
        <v>50</v>
      </c>
      <c r="AG62" s="40" t="s">
        <v>41</v>
      </c>
      <c r="AH62" s="40">
        <v>4</v>
      </c>
      <c r="AI62" s="43">
        <v>0.184</v>
      </c>
      <c r="AJ62" s="40">
        <v>4</v>
      </c>
      <c r="AK62" s="40">
        <v>0.192</v>
      </c>
      <c r="AL62" s="40">
        <v>0</v>
      </c>
      <c r="AM62" s="43">
        <v>0</v>
      </c>
      <c r="AN62" s="40" t="str">
        <f t="shared" si="2"/>
        <v>WRONG!</v>
      </c>
    </row>
    <row r="63" spans="1:41" x14ac:dyDescent="0.3">
      <c r="A63" s="40" t="s">
        <v>88</v>
      </c>
      <c r="B63" s="40" t="s">
        <v>15</v>
      </c>
      <c r="C63" s="41">
        <v>41470</v>
      </c>
      <c r="D63" s="42">
        <v>1.395</v>
      </c>
      <c r="E63" s="42">
        <v>1.379</v>
      </c>
      <c r="F63" s="43" t="s">
        <v>1</v>
      </c>
      <c r="G63" s="43">
        <v>1</v>
      </c>
      <c r="H63" s="43" t="s">
        <v>47</v>
      </c>
      <c r="I63" s="43" t="s">
        <v>44</v>
      </c>
      <c r="J63" s="43">
        <v>4</v>
      </c>
      <c r="K63" s="40">
        <v>0.24099999999999999</v>
      </c>
      <c r="L63" s="40">
        <v>4</v>
      </c>
      <c r="M63" s="40">
        <v>0.22600000000000001</v>
      </c>
      <c r="N63" s="40">
        <v>0</v>
      </c>
      <c r="O63" s="45">
        <v>2</v>
      </c>
      <c r="P63" s="43" t="s">
        <v>45</v>
      </c>
      <c r="Q63" s="43" t="s">
        <v>44</v>
      </c>
      <c r="R63" s="43">
        <v>5</v>
      </c>
      <c r="S63" s="40">
        <v>0.247</v>
      </c>
      <c r="T63" s="40">
        <v>5</v>
      </c>
      <c r="U63" s="40">
        <v>0.253</v>
      </c>
      <c r="V63" s="40">
        <v>0</v>
      </c>
      <c r="W63" s="45">
        <v>3</v>
      </c>
      <c r="X63" s="43" t="s">
        <v>43</v>
      </c>
      <c r="Y63" s="43" t="s">
        <v>41</v>
      </c>
      <c r="Z63" s="40">
        <v>4</v>
      </c>
      <c r="AA63" s="40">
        <v>0.186</v>
      </c>
      <c r="AB63" s="40">
        <v>4</v>
      </c>
      <c r="AC63" s="40">
        <v>0.186</v>
      </c>
      <c r="AD63" s="40">
        <v>0</v>
      </c>
      <c r="AE63" s="45">
        <v>4</v>
      </c>
      <c r="AF63" s="43" t="s">
        <v>46</v>
      </c>
      <c r="AG63" s="40" t="s">
        <v>41</v>
      </c>
      <c r="AH63" s="40">
        <v>4</v>
      </c>
      <c r="AI63" s="43">
        <v>0.22900000000000001</v>
      </c>
      <c r="AJ63" s="40">
        <v>4</v>
      </c>
      <c r="AK63" s="40">
        <v>0.193</v>
      </c>
      <c r="AL63" s="40">
        <v>0</v>
      </c>
      <c r="AM63" s="43">
        <v>0</v>
      </c>
      <c r="AN63" s="40" t="str">
        <f t="shared" si="2"/>
        <v>WRONG!</v>
      </c>
    </row>
    <row r="64" spans="1:41" x14ac:dyDescent="0.3">
      <c r="A64" s="40" t="s">
        <v>57</v>
      </c>
      <c r="B64" s="40" t="s">
        <v>55</v>
      </c>
      <c r="C64" s="41">
        <v>41471</v>
      </c>
      <c r="D64" s="42">
        <v>0.25600000000000001</v>
      </c>
      <c r="E64" s="42">
        <v>0.252</v>
      </c>
      <c r="F64" s="43" t="s">
        <v>61</v>
      </c>
      <c r="G64" s="43">
        <v>1</v>
      </c>
      <c r="H64" s="43" t="s">
        <v>47</v>
      </c>
      <c r="I64" s="43" t="s">
        <v>44</v>
      </c>
      <c r="J64" s="43">
        <v>3</v>
      </c>
      <c r="K64" s="40">
        <v>0.44900000000000001</v>
      </c>
      <c r="L64" s="40">
        <v>3</v>
      </c>
      <c r="M64" s="40">
        <v>0.45700000000000002</v>
      </c>
      <c r="N64" s="40">
        <v>0</v>
      </c>
      <c r="O64" s="45">
        <v>2</v>
      </c>
      <c r="P64" s="43" t="s">
        <v>46</v>
      </c>
      <c r="Q64" s="43" t="s">
        <v>41</v>
      </c>
      <c r="R64" s="43">
        <v>3</v>
      </c>
      <c r="S64" s="40">
        <v>0.46300000000000002</v>
      </c>
      <c r="T64" s="40">
        <v>3</v>
      </c>
      <c r="U64" s="40">
        <v>0.33300000000000002</v>
      </c>
      <c r="V64" s="40">
        <v>0</v>
      </c>
      <c r="W64" s="45">
        <v>3</v>
      </c>
      <c r="X64" s="43" t="s">
        <v>49</v>
      </c>
      <c r="Y64" s="43" t="s">
        <v>41</v>
      </c>
      <c r="Z64" s="40">
        <v>3</v>
      </c>
      <c r="AA64" s="40">
        <v>0.33</v>
      </c>
      <c r="AB64" s="40">
        <v>3</v>
      </c>
      <c r="AC64" s="40">
        <v>0.26</v>
      </c>
      <c r="AD64" s="40">
        <v>0</v>
      </c>
      <c r="AE64" s="45">
        <v>4</v>
      </c>
      <c r="AF64" s="43" t="s">
        <v>48</v>
      </c>
      <c r="AG64" s="40" t="s">
        <v>44</v>
      </c>
      <c r="AH64" s="40">
        <v>2</v>
      </c>
      <c r="AI64" s="43">
        <v>0.186</v>
      </c>
      <c r="AJ64" s="40">
        <v>2</v>
      </c>
      <c r="AK64" s="40">
        <v>0.20200000000000001</v>
      </c>
      <c r="AL64" s="40">
        <v>0</v>
      </c>
      <c r="AM64" s="43">
        <v>0</v>
      </c>
      <c r="AN64" s="40" t="str">
        <f t="shared" si="2"/>
        <v>WRONG!</v>
      </c>
    </row>
    <row r="65" spans="1:41" x14ac:dyDescent="0.3">
      <c r="A65" s="40" t="s">
        <v>37</v>
      </c>
      <c r="B65" s="40" t="s">
        <v>15</v>
      </c>
      <c r="C65" s="41">
        <v>41471</v>
      </c>
      <c r="D65" s="42">
        <v>1.5509999999999999</v>
      </c>
      <c r="E65" s="42">
        <v>1.5449999999999999</v>
      </c>
      <c r="F65" s="43" t="s">
        <v>61</v>
      </c>
      <c r="G65" s="43">
        <v>1</v>
      </c>
      <c r="H65" s="43" t="s">
        <v>49</v>
      </c>
      <c r="I65" s="43" t="s">
        <v>41</v>
      </c>
      <c r="J65" s="43">
        <v>6</v>
      </c>
      <c r="K65" s="40">
        <v>0.221</v>
      </c>
      <c r="L65" s="40">
        <v>6</v>
      </c>
      <c r="M65" s="40">
        <v>0.23899999999999999</v>
      </c>
      <c r="N65" s="40">
        <v>0</v>
      </c>
      <c r="O65" s="45">
        <v>2</v>
      </c>
      <c r="P65" s="43" t="s">
        <v>50</v>
      </c>
      <c r="Q65" s="43" t="s">
        <v>41</v>
      </c>
      <c r="R65" s="43">
        <v>3</v>
      </c>
      <c r="S65" s="40">
        <v>0.38500000000000001</v>
      </c>
      <c r="T65" s="40">
        <v>3</v>
      </c>
      <c r="U65" s="40">
        <v>0.309</v>
      </c>
      <c r="V65" s="40">
        <v>0</v>
      </c>
      <c r="W65" s="45">
        <v>3</v>
      </c>
      <c r="X65" s="43" t="s">
        <v>51</v>
      </c>
      <c r="Y65" s="43" t="s">
        <v>44</v>
      </c>
      <c r="Z65" s="40">
        <v>4</v>
      </c>
      <c r="AA65" s="40">
        <v>0.502</v>
      </c>
      <c r="AB65" s="40">
        <v>4</v>
      </c>
      <c r="AC65" s="40">
        <v>0.33</v>
      </c>
      <c r="AD65" s="40">
        <v>0</v>
      </c>
      <c r="AE65" s="45">
        <v>4</v>
      </c>
      <c r="AF65" s="43" t="s">
        <v>48</v>
      </c>
      <c r="AG65" s="40" t="s">
        <v>44</v>
      </c>
      <c r="AH65" s="40">
        <v>2</v>
      </c>
      <c r="AI65" s="43">
        <v>0.27</v>
      </c>
      <c r="AJ65" s="40">
        <v>2</v>
      </c>
      <c r="AK65" s="40">
        <v>0.21099999999999999</v>
      </c>
      <c r="AL65" s="40">
        <v>0</v>
      </c>
      <c r="AM65" s="43">
        <v>0</v>
      </c>
      <c r="AN65" s="40" t="str">
        <f t="shared" si="2"/>
        <v>WRONG!</v>
      </c>
    </row>
    <row r="66" spans="1:41" x14ac:dyDescent="0.3">
      <c r="A66" s="40" t="s">
        <v>38</v>
      </c>
      <c r="B66" s="40" t="s">
        <v>15</v>
      </c>
      <c r="C66" s="41">
        <v>41471</v>
      </c>
      <c r="D66" s="42">
        <v>1.597</v>
      </c>
      <c r="E66" s="42">
        <v>1.5880000000000001</v>
      </c>
      <c r="F66" s="43" t="s">
        <v>61</v>
      </c>
      <c r="G66" s="43">
        <v>1</v>
      </c>
      <c r="H66" s="43" t="s">
        <v>51</v>
      </c>
      <c r="I66" s="43" t="s">
        <v>44</v>
      </c>
      <c r="J66" s="43">
        <v>3</v>
      </c>
      <c r="K66" s="40">
        <v>0.42099999999999999</v>
      </c>
      <c r="L66" s="40">
        <v>3</v>
      </c>
      <c r="M66" s="40">
        <v>0.25</v>
      </c>
      <c r="N66" s="40">
        <v>0</v>
      </c>
      <c r="O66" s="45">
        <v>2</v>
      </c>
      <c r="P66" s="43" t="s">
        <v>45</v>
      </c>
      <c r="Q66" s="43" t="s">
        <v>44</v>
      </c>
      <c r="R66" s="43">
        <v>3</v>
      </c>
      <c r="S66" s="40">
        <v>0.314</v>
      </c>
      <c r="T66" s="40">
        <v>3</v>
      </c>
      <c r="U66" s="40">
        <v>0.22600000000000001</v>
      </c>
      <c r="V66" s="40">
        <v>0</v>
      </c>
      <c r="W66" s="45">
        <v>3</v>
      </c>
      <c r="X66" s="43" t="s">
        <v>43</v>
      </c>
      <c r="Y66" s="43" t="s">
        <v>41</v>
      </c>
      <c r="Z66" s="40">
        <v>3</v>
      </c>
      <c r="AA66" s="40">
        <v>0.221</v>
      </c>
      <c r="AB66" s="40">
        <v>3</v>
      </c>
      <c r="AC66" s="40">
        <v>0.22700000000000001</v>
      </c>
      <c r="AD66" s="40">
        <v>0</v>
      </c>
      <c r="AE66" s="45">
        <v>4</v>
      </c>
      <c r="AF66" s="43" t="s">
        <v>50</v>
      </c>
      <c r="AG66" s="40" t="s">
        <v>41</v>
      </c>
      <c r="AH66" s="40">
        <v>5</v>
      </c>
      <c r="AI66" s="43">
        <v>0.308</v>
      </c>
      <c r="AJ66" s="40">
        <v>5</v>
      </c>
      <c r="AK66" s="40">
        <v>0.22600000000000001</v>
      </c>
      <c r="AL66" s="40">
        <v>0</v>
      </c>
      <c r="AM66" s="43">
        <v>0</v>
      </c>
      <c r="AN66" s="40" t="str">
        <f t="shared" si="2"/>
        <v>WRONG!</v>
      </c>
    </row>
    <row r="67" spans="1:41" x14ac:dyDescent="0.3">
      <c r="A67" s="40" t="s">
        <v>66</v>
      </c>
      <c r="B67" s="40" t="s">
        <v>15</v>
      </c>
      <c r="C67" s="41">
        <v>41471</v>
      </c>
      <c r="D67" s="42">
        <v>0.91</v>
      </c>
      <c r="E67" s="42">
        <v>0.90300000000000002</v>
      </c>
      <c r="F67" s="43" t="s">
        <v>61</v>
      </c>
      <c r="G67" s="43">
        <v>1</v>
      </c>
      <c r="H67" s="43" t="s">
        <v>46</v>
      </c>
      <c r="I67" s="43" t="s">
        <v>41</v>
      </c>
      <c r="J67" s="43">
        <v>3</v>
      </c>
      <c r="K67" s="40">
        <v>0.23300000000000001</v>
      </c>
      <c r="L67" s="40">
        <v>3</v>
      </c>
      <c r="M67" s="40">
        <v>0.19500000000000001</v>
      </c>
      <c r="N67" s="40">
        <v>0</v>
      </c>
      <c r="O67" s="45">
        <v>2</v>
      </c>
      <c r="P67" s="43" t="s">
        <v>45</v>
      </c>
      <c r="Q67" s="43" t="s">
        <v>44</v>
      </c>
      <c r="R67" s="43">
        <v>3</v>
      </c>
      <c r="S67" s="40">
        <v>0.247</v>
      </c>
      <c r="T67" s="40">
        <v>3</v>
      </c>
      <c r="U67" s="40">
        <v>0.188</v>
      </c>
      <c r="V67" s="40">
        <v>0</v>
      </c>
      <c r="W67" s="45">
        <v>3</v>
      </c>
      <c r="X67" s="43" t="s">
        <v>45</v>
      </c>
      <c r="Y67" s="43" t="s">
        <v>44</v>
      </c>
      <c r="Z67" s="40">
        <v>3</v>
      </c>
      <c r="AA67" s="40">
        <v>0.42399999999999999</v>
      </c>
      <c r="AB67" s="40">
        <v>3</v>
      </c>
      <c r="AC67" s="40">
        <v>0.379</v>
      </c>
      <c r="AD67" s="40">
        <v>0</v>
      </c>
      <c r="AE67" s="45">
        <v>4</v>
      </c>
      <c r="AF67" s="43" t="s">
        <v>43</v>
      </c>
      <c r="AG67" s="40" t="s">
        <v>41</v>
      </c>
      <c r="AH67" s="40">
        <v>3</v>
      </c>
      <c r="AI67" s="43">
        <v>0.20300000000000001</v>
      </c>
      <c r="AJ67" s="40">
        <v>3</v>
      </c>
      <c r="AK67" s="40">
        <v>0.20499999999999999</v>
      </c>
      <c r="AL67" s="40">
        <v>0</v>
      </c>
      <c r="AM67" s="43">
        <v>0</v>
      </c>
      <c r="AN67" s="40" t="str">
        <f t="shared" si="2"/>
        <v>WRONG!</v>
      </c>
    </row>
    <row r="68" spans="1:41" s="32" customFormat="1" x14ac:dyDescent="0.3">
      <c r="A68" s="32" t="s">
        <v>95</v>
      </c>
      <c r="B68" s="32" t="s">
        <v>55</v>
      </c>
      <c r="C68" s="33">
        <v>41472</v>
      </c>
      <c r="D68" s="34">
        <v>0.35099999999999998</v>
      </c>
      <c r="E68" s="34">
        <v>0.46300000000000002</v>
      </c>
      <c r="F68" s="35" t="s">
        <v>61</v>
      </c>
      <c r="G68" s="35">
        <v>1</v>
      </c>
      <c r="H68" s="35" t="s">
        <v>47</v>
      </c>
      <c r="I68" s="35" t="s">
        <v>44</v>
      </c>
      <c r="J68" s="35">
        <v>3</v>
      </c>
      <c r="K68" s="32">
        <v>0.254</v>
      </c>
      <c r="L68" s="32">
        <v>0</v>
      </c>
      <c r="M68" s="32">
        <v>0.129</v>
      </c>
      <c r="N68" s="32">
        <v>3</v>
      </c>
      <c r="O68" s="36">
        <v>2</v>
      </c>
      <c r="P68" s="35" t="s">
        <v>46</v>
      </c>
      <c r="Q68" s="35" t="s">
        <v>41</v>
      </c>
      <c r="R68" s="35">
        <v>2</v>
      </c>
      <c r="S68" s="32">
        <v>0.52800000000000002</v>
      </c>
      <c r="T68" s="32">
        <v>1</v>
      </c>
      <c r="U68" s="32">
        <v>0.39600000000000002</v>
      </c>
      <c r="V68" s="32">
        <v>1</v>
      </c>
      <c r="W68" s="36">
        <v>3</v>
      </c>
      <c r="X68" s="35" t="s">
        <v>48</v>
      </c>
      <c r="Y68" s="35" t="s">
        <v>44</v>
      </c>
      <c r="Z68" s="32">
        <v>3</v>
      </c>
      <c r="AA68" s="32">
        <v>0.24199999999999999</v>
      </c>
      <c r="AB68" s="32">
        <v>1</v>
      </c>
      <c r="AC68" s="32">
        <v>0.17799999999999999</v>
      </c>
      <c r="AD68" s="32">
        <v>3</v>
      </c>
      <c r="AE68" s="36">
        <v>4</v>
      </c>
      <c r="AF68" s="35" t="s">
        <v>49</v>
      </c>
      <c r="AG68" s="32" t="s">
        <v>41</v>
      </c>
      <c r="AH68" s="32">
        <v>2</v>
      </c>
      <c r="AI68" s="35">
        <v>0.28499999999999998</v>
      </c>
      <c r="AJ68" s="32">
        <v>2</v>
      </c>
      <c r="AK68" s="32">
        <v>0.24299999999999999</v>
      </c>
      <c r="AL68" s="32">
        <v>1</v>
      </c>
      <c r="AM68" s="35">
        <v>0.06</v>
      </c>
      <c r="AN68" s="32" t="str">
        <f t="shared" si="2"/>
        <v>ok</v>
      </c>
      <c r="AO68" s="32" t="s">
        <v>93</v>
      </c>
    </row>
    <row r="69" spans="1:41" s="32" customFormat="1" x14ac:dyDescent="0.3">
      <c r="A69" s="32" t="s">
        <v>56</v>
      </c>
      <c r="B69" s="32" t="s">
        <v>15</v>
      </c>
      <c r="C69" s="33">
        <v>41472</v>
      </c>
      <c r="D69" s="34">
        <v>0.38400000000000001</v>
      </c>
      <c r="E69" s="34" t="s">
        <v>97</v>
      </c>
      <c r="F69" s="35" t="s">
        <v>61</v>
      </c>
      <c r="G69" s="35">
        <v>1</v>
      </c>
      <c r="H69" s="35" t="s">
        <v>48</v>
      </c>
      <c r="I69" s="35" t="s">
        <v>44</v>
      </c>
      <c r="J69" s="35">
        <v>3</v>
      </c>
      <c r="K69" s="32">
        <v>0.20699999999999999</v>
      </c>
      <c r="L69" s="32">
        <v>3</v>
      </c>
      <c r="M69" s="32">
        <v>0.21199999999999999</v>
      </c>
      <c r="N69" s="32">
        <v>0</v>
      </c>
      <c r="O69" s="36">
        <v>2</v>
      </c>
      <c r="P69" s="35" t="s">
        <v>51</v>
      </c>
      <c r="Q69" s="35" t="s">
        <v>44</v>
      </c>
      <c r="R69" s="35">
        <v>3</v>
      </c>
      <c r="S69" s="32">
        <v>0.24299999999999999</v>
      </c>
      <c r="T69" s="32">
        <v>3</v>
      </c>
      <c r="U69" s="32">
        <v>0.184</v>
      </c>
      <c r="V69" s="32">
        <v>0</v>
      </c>
      <c r="W69" s="36">
        <v>3</v>
      </c>
      <c r="X69" s="35" t="s">
        <v>50</v>
      </c>
      <c r="Y69" s="35" t="s">
        <v>41</v>
      </c>
      <c r="Z69" s="32">
        <v>4</v>
      </c>
      <c r="AA69" s="32">
        <v>0.51200000000000001</v>
      </c>
      <c r="AB69" s="32">
        <v>0</v>
      </c>
      <c r="AC69" s="32">
        <v>0.27600000000000002</v>
      </c>
      <c r="AD69" s="32">
        <v>3</v>
      </c>
      <c r="AE69" s="36">
        <v>4</v>
      </c>
      <c r="AF69" s="35" t="s">
        <v>49</v>
      </c>
      <c r="AG69" s="32" t="s">
        <v>41</v>
      </c>
      <c r="AH69" s="32">
        <v>2</v>
      </c>
      <c r="AI69" s="35">
        <v>0.28199999999999997</v>
      </c>
      <c r="AJ69" s="32">
        <v>2</v>
      </c>
      <c r="AK69" s="32">
        <v>0.26200000000000001</v>
      </c>
      <c r="AL69" s="32">
        <v>0</v>
      </c>
      <c r="AM69" s="35">
        <v>8.2000000000000003E-2</v>
      </c>
      <c r="AN69" s="32" t="str">
        <f t="shared" si="2"/>
        <v>ok</v>
      </c>
      <c r="AO69" s="32" t="s">
        <v>93</v>
      </c>
    </row>
    <row r="70" spans="1:41" s="32" customFormat="1" x14ac:dyDescent="0.3">
      <c r="A70" s="32" t="s">
        <v>96</v>
      </c>
      <c r="B70" s="32" t="s">
        <v>55</v>
      </c>
      <c r="C70" s="33">
        <v>41472</v>
      </c>
      <c r="D70" s="34">
        <v>0.23200000000000001</v>
      </c>
      <c r="E70" s="34">
        <v>0.22800000000000001</v>
      </c>
      <c r="F70" s="35" t="s">
        <v>61</v>
      </c>
      <c r="G70" s="35">
        <v>1</v>
      </c>
      <c r="H70" s="35" t="s">
        <v>50</v>
      </c>
      <c r="I70" s="35" t="s">
        <v>41</v>
      </c>
      <c r="J70" s="35">
        <v>3</v>
      </c>
      <c r="K70" s="32">
        <v>0.65100000000000002</v>
      </c>
      <c r="L70" s="32">
        <v>3</v>
      </c>
      <c r="M70" s="32">
        <v>0.51200000000000001</v>
      </c>
      <c r="N70" s="32">
        <v>0</v>
      </c>
      <c r="O70" s="36">
        <v>2</v>
      </c>
      <c r="P70" s="35" t="s">
        <v>43</v>
      </c>
      <c r="Q70" s="35" t="s">
        <v>41</v>
      </c>
      <c r="R70" s="35">
        <v>2</v>
      </c>
      <c r="S70" s="32">
        <v>0.27900000000000003</v>
      </c>
      <c r="T70" s="32">
        <v>2</v>
      </c>
      <c r="U70" s="32">
        <v>0.20599999999999999</v>
      </c>
      <c r="V70" s="32">
        <v>0</v>
      </c>
      <c r="W70" s="36">
        <v>3</v>
      </c>
      <c r="X70" s="35" t="s">
        <v>45</v>
      </c>
      <c r="Y70" s="35" t="s">
        <v>44</v>
      </c>
      <c r="Z70" s="32">
        <v>3</v>
      </c>
      <c r="AA70" s="32">
        <v>0.251</v>
      </c>
      <c r="AB70" s="32">
        <v>3</v>
      </c>
      <c r="AC70" s="32">
        <v>0.25</v>
      </c>
      <c r="AD70" s="32">
        <v>0</v>
      </c>
      <c r="AE70" s="36">
        <v>4</v>
      </c>
      <c r="AF70" s="35" t="s">
        <v>51</v>
      </c>
      <c r="AG70" s="32" t="s">
        <v>44</v>
      </c>
      <c r="AH70" s="32">
        <v>3</v>
      </c>
      <c r="AI70" s="35">
        <v>0.436</v>
      </c>
      <c r="AJ70" s="32">
        <v>3</v>
      </c>
      <c r="AK70" s="32">
        <v>0.29599999999999999</v>
      </c>
      <c r="AL70" s="32">
        <v>0</v>
      </c>
      <c r="AM70" s="35">
        <v>0</v>
      </c>
      <c r="AN70" s="32" t="str">
        <f t="shared" si="2"/>
        <v>WRONG!</v>
      </c>
    </row>
    <row r="71" spans="1:41" s="32" customFormat="1" x14ac:dyDescent="0.3">
      <c r="A71" s="32" t="s">
        <v>85</v>
      </c>
      <c r="B71" s="32" t="s">
        <v>15</v>
      </c>
      <c r="C71" s="33">
        <v>41472</v>
      </c>
      <c r="D71" s="34">
        <v>1.4390000000000001</v>
      </c>
      <c r="E71" s="34">
        <v>1.4279999999999999</v>
      </c>
      <c r="F71" s="35" t="s">
        <v>61</v>
      </c>
      <c r="G71" s="35">
        <v>1</v>
      </c>
      <c r="H71" s="35" t="s">
        <v>46</v>
      </c>
      <c r="I71" s="35" t="s">
        <v>41</v>
      </c>
      <c r="J71" s="35">
        <v>3</v>
      </c>
      <c r="K71" s="32">
        <v>0.64800000000000002</v>
      </c>
      <c r="L71" s="32">
        <v>3</v>
      </c>
      <c r="M71" s="32">
        <v>0.45</v>
      </c>
      <c r="N71" s="32">
        <v>0</v>
      </c>
      <c r="O71" s="36">
        <v>2</v>
      </c>
      <c r="P71" s="35" t="s">
        <v>45</v>
      </c>
      <c r="Q71" s="35" t="s">
        <v>44</v>
      </c>
      <c r="R71" s="35">
        <v>3</v>
      </c>
      <c r="S71" s="32">
        <v>0.151</v>
      </c>
      <c r="T71" s="32">
        <v>3</v>
      </c>
      <c r="U71" s="32">
        <v>0.14799999999999999</v>
      </c>
      <c r="V71" s="32">
        <v>0</v>
      </c>
      <c r="W71" s="36">
        <v>3</v>
      </c>
      <c r="X71" s="35" t="s">
        <v>47</v>
      </c>
      <c r="Y71" s="35" t="s">
        <v>44</v>
      </c>
      <c r="Z71" s="32">
        <v>3</v>
      </c>
      <c r="AA71" s="32">
        <v>0.26900000000000002</v>
      </c>
      <c r="AB71" s="32">
        <v>3</v>
      </c>
      <c r="AC71" s="32">
        <v>0.22800000000000001</v>
      </c>
      <c r="AD71" s="32">
        <v>0</v>
      </c>
      <c r="AE71" s="36">
        <v>4</v>
      </c>
      <c r="AF71" s="35" t="s">
        <v>43</v>
      </c>
      <c r="AG71" s="32" t="s">
        <v>41</v>
      </c>
      <c r="AH71" s="32">
        <v>2</v>
      </c>
      <c r="AI71" s="35">
        <v>0.34899999999999998</v>
      </c>
      <c r="AJ71" s="32">
        <v>2</v>
      </c>
      <c r="AK71" s="32">
        <v>0.23799999999999999</v>
      </c>
      <c r="AL71" s="32">
        <v>0</v>
      </c>
      <c r="AM71" s="35">
        <v>0</v>
      </c>
      <c r="AN71" s="32" t="str">
        <f t="shared" si="2"/>
        <v>WRONG!</v>
      </c>
    </row>
    <row r="72" spans="1:41" x14ac:dyDescent="0.3">
      <c r="A72" s="32" t="s">
        <v>57</v>
      </c>
      <c r="B72" s="32" t="s">
        <v>55</v>
      </c>
      <c r="C72" s="33">
        <v>41473</v>
      </c>
      <c r="D72" s="12">
        <v>0.247</v>
      </c>
      <c r="F72" s="35" t="s">
        <v>61</v>
      </c>
      <c r="G72" s="35">
        <v>1</v>
      </c>
      <c r="H72" s="1" t="s">
        <v>49</v>
      </c>
      <c r="I72" s="1" t="s">
        <v>41</v>
      </c>
      <c r="J72" s="1">
        <v>2</v>
      </c>
      <c r="K72" s="32">
        <v>0.14899999999999999</v>
      </c>
      <c r="O72" s="36">
        <v>2</v>
      </c>
      <c r="P72" s="1" t="s">
        <v>46</v>
      </c>
      <c r="Q72" s="1" t="s">
        <v>41</v>
      </c>
      <c r="R72" s="1">
        <v>3</v>
      </c>
      <c r="S72" s="32">
        <v>0.27300000000000002</v>
      </c>
      <c r="W72" s="36">
        <v>3</v>
      </c>
      <c r="X72" s="1" t="s">
        <v>47</v>
      </c>
      <c r="Y72" s="1" t="s">
        <v>44</v>
      </c>
      <c r="Z72" s="32">
        <v>2</v>
      </c>
      <c r="AA72" s="32">
        <v>0.17499999999999999</v>
      </c>
      <c r="AE72" s="36">
        <v>4</v>
      </c>
      <c r="AF72" s="1" t="s">
        <v>48</v>
      </c>
      <c r="AG72" s="32" t="s">
        <v>44</v>
      </c>
      <c r="AH72" s="32">
        <v>3</v>
      </c>
      <c r="AI72" s="1">
        <v>0.57899999999999996</v>
      </c>
      <c r="AN72" t="str">
        <f t="shared" si="2"/>
        <v>WRONG!</v>
      </c>
    </row>
    <row r="73" spans="1:41" x14ac:dyDescent="0.3">
      <c r="A73" s="32" t="s">
        <v>38</v>
      </c>
      <c r="B73" s="32" t="s">
        <v>15</v>
      </c>
      <c r="C73" s="33">
        <v>41473</v>
      </c>
      <c r="D73" s="12">
        <v>1.5740000000000001</v>
      </c>
      <c r="F73" s="35" t="s">
        <v>61</v>
      </c>
      <c r="G73" s="35">
        <v>1</v>
      </c>
      <c r="H73" s="1" t="s">
        <v>48</v>
      </c>
      <c r="I73" s="1" t="s">
        <v>44</v>
      </c>
      <c r="J73" s="1">
        <v>2</v>
      </c>
      <c r="K73" s="32">
        <v>0.309</v>
      </c>
      <c r="O73" s="36">
        <v>2</v>
      </c>
      <c r="P73" s="1" t="s">
        <v>50</v>
      </c>
      <c r="Q73" s="1" t="s">
        <v>41</v>
      </c>
      <c r="R73" s="1">
        <v>2</v>
      </c>
      <c r="S73" s="32">
        <v>0.13</v>
      </c>
      <c r="W73" s="36">
        <v>3</v>
      </c>
      <c r="X73" s="1" t="s">
        <v>49</v>
      </c>
      <c r="Y73" s="1" t="s">
        <v>41</v>
      </c>
      <c r="Z73" s="32">
        <v>3</v>
      </c>
      <c r="AA73" s="32">
        <v>0.22700000000000001</v>
      </c>
      <c r="AE73" s="36">
        <v>4</v>
      </c>
      <c r="AF73" s="1" t="s">
        <v>51</v>
      </c>
      <c r="AG73" s="32" t="s">
        <v>44</v>
      </c>
      <c r="AH73" s="32">
        <v>3</v>
      </c>
      <c r="AI73" s="1">
        <v>0.35699999999999998</v>
      </c>
      <c r="AN73" t="str">
        <f t="shared" si="2"/>
        <v>WRONG!</v>
      </c>
    </row>
    <row r="74" spans="1:41" x14ac:dyDescent="0.3">
      <c r="A74" s="32" t="s">
        <v>91</v>
      </c>
      <c r="B74" s="32" t="s">
        <v>15</v>
      </c>
      <c r="C74" s="33">
        <v>41473</v>
      </c>
      <c r="D74" s="12">
        <v>0.71399999999999997</v>
      </c>
      <c r="F74" s="35" t="s">
        <v>61</v>
      </c>
      <c r="G74" s="35">
        <v>1</v>
      </c>
      <c r="H74" s="1" t="s">
        <v>43</v>
      </c>
      <c r="I74" s="1" t="s">
        <v>41</v>
      </c>
      <c r="J74" s="1">
        <v>3</v>
      </c>
      <c r="K74" s="32">
        <v>0.22500000000000001</v>
      </c>
      <c r="O74" s="36">
        <v>2</v>
      </c>
      <c r="P74" s="1" t="s">
        <v>45</v>
      </c>
      <c r="Q74" s="1" t="s">
        <v>44</v>
      </c>
      <c r="R74" s="1">
        <v>3</v>
      </c>
      <c r="S74" s="32">
        <v>0.3</v>
      </c>
      <c r="W74" s="36">
        <v>3</v>
      </c>
      <c r="X74" s="1" t="s">
        <v>50</v>
      </c>
      <c r="Y74" s="1" t="s">
        <v>41</v>
      </c>
      <c r="Z74" s="32">
        <v>3</v>
      </c>
      <c r="AA74" s="32">
        <v>0.14199999999999999</v>
      </c>
      <c r="AE74" s="36">
        <v>4</v>
      </c>
      <c r="AF74" s="1" t="s">
        <v>51</v>
      </c>
      <c r="AG74" s="32" t="s">
        <v>44</v>
      </c>
      <c r="AH74" s="32">
        <v>3</v>
      </c>
      <c r="AI74" s="1">
        <v>0.46400000000000002</v>
      </c>
      <c r="AN74" t="str">
        <f t="shared" si="2"/>
        <v>WRONG!</v>
      </c>
    </row>
    <row r="75" spans="1:41" x14ac:dyDescent="0.3">
      <c r="A75" s="32" t="s">
        <v>98</v>
      </c>
      <c r="B75" s="32" t="s">
        <v>15</v>
      </c>
      <c r="C75" s="33">
        <v>41473</v>
      </c>
      <c r="D75" s="12">
        <v>1.4610000000000001</v>
      </c>
      <c r="F75" s="35" t="s">
        <v>61</v>
      </c>
      <c r="G75" s="35">
        <v>1</v>
      </c>
      <c r="H75" s="1" t="s">
        <v>47</v>
      </c>
      <c r="I75" s="1" t="s">
        <v>44</v>
      </c>
      <c r="J75" s="1">
        <v>3</v>
      </c>
      <c r="K75" s="32">
        <v>0.58799999999999997</v>
      </c>
      <c r="O75" s="36">
        <v>2</v>
      </c>
      <c r="P75" s="1" t="s">
        <v>43</v>
      </c>
      <c r="Q75" s="1" t="s">
        <v>44</v>
      </c>
      <c r="R75" s="1">
        <v>3</v>
      </c>
      <c r="S75" s="32">
        <v>0.19900000000000001</v>
      </c>
      <c r="W75" s="36">
        <v>3</v>
      </c>
      <c r="X75" s="1" t="s">
        <v>45</v>
      </c>
      <c r="Y75" s="1" t="s">
        <v>44</v>
      </c>
      <c r="Z75" s="32">
        <v>3</v>
      </c>
      <c r="AA75" s="32">
        <v>0.27500000000000002</v>
      </c>
      <c r="AE75" s="36">
        <v>4</v>
      </c>
      <c r="AF75" s="1" t="s">
        <v>46</v>
      </c>
      <c r="AG75" s="32" t="s">
        <v>41</v>
      </c>
      <c r="AH75" s="32">
        <v>3</v>
      </c>
      <c r="AI75" s="1">
        <v>0.16</v>
      </c>
      <c r="AN75" t="str">
        <f t="shared" si="2"/>
        <v>WRONG!</v>
      </c>
    </row>
    <row r="76" spans="1:41" x14ac:dyDescent="0.3">
      <c r="AN76" t="str">
        <f t="shared" si="2"/>
        <v>WRONG!</v>
      </c>
    </row>
  </sheetData>
  <autoFilter ref="A1:A120" xr:uid="{00000000-0009-0000-0000-000000000000}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6"/>
  <sheetViews>
    <sheetView zoomScale="80" zoomScaleNormal="80" workbookViewId="0">
      <selection activeCell="K14" sqref="K14:L15"/>
    </sheetView>
  </sheetViews>
  <sheetFormatPr defaultRowHeight="14.4" x14ac:dyDescent="0.3"/>
  <cols>
    <col min="1" max="1" width="14.21875" customWidth="1"/>
    <col min="2" max="2" width="8.21875" bestFit="1" customWidth="1"/>
    <col min="3" max="3" width="5.77734375" bestFit="1" customWidth="1"/>
    <col min="4" max="4" width="4.77734375" bestFit="1" customWidth="1"/>
    <col min="5" max="5" width="10.21875" bestFit="1" customWidth="1"/>
    <col min="6" max="6" width="14.5546875" style="27" bestFit="1" customWidth="1"/>
    <col min="7" max="7" width="13" style="27" bestFit="1" customWidth="1"/>
    <col min="8" max="8" width="13" style="27" customWidth="1"/>
    <col min="9" max="9" width="10.21875" bestFit="1" customWidth="1"/>
    <col min="11" max="11" width="13.33203125" customWidth="1"/>
    <col min="12" max="12" width="17.21875" customWidth="1"/>
    <col min="13" max="13" width="16.21875" bestFit="1" customWidth="1"/>
    <col min="14" max="14" width="15.33203125" bestFit="1" customWidth="1"/>
  </cols>
  <sheetData>
    <row r="1" spans="1:15" s="11" customFormat="1" ht="18" x14ac:dyDescent="0.35">
      <c r="A1" s="10" t="s">
        <v>12</v>
      </c>
      <c r="F1" s="26"/>
      <c r="G1" s="26"/>
      <c r="H1" s="26"/>
    </row>
    <row r="2" spans="1:15" x14ac:dyDescent="0.3">
      <c r="A2" t="s">
        <v>13</v>
      </c>
      <c r="K2" s="47" t="s">
        <v>17</v>
      </c>
      <c r="L2" t="s">
        <v>1</v>
      </c>
    </row>
    <row r="4" spans="1:15" x14ac:dyDescent="0.3">
      <c r="A4" s="6" t="s">
        <v>17</v>
      </c>
      <c r="B4" s="6" t="s">
        <v>18</v>
      </c>
      <c r="C4" s="6" t="s">
        <v>42</v>
      </c>
      <c r="D4" s="6" t="s">
        <v>63</v>
      </c>
      <c r="E4" s="6" t="s">
        <v>14</v>
      </c>
      <c r="F4" s="57" t="s">
        <v>4</v>
      </c>
      <c r="G4" s="57" t="s">
        <v>5</v>
      </c>
      <c r="H4" s="57" t="s">
        <v>99</v>
      </c>
      <c r="I4" s="6" t="s">
        <v>3</v>
      </c>
      <c r="K4" s="47" t="s">
        <v>82</v>
      </c>
      <c r="L4" t="s">
        <v>101</v>
      </c>
      <c r="M4" t="s">
        <v>102</v>
      </c>
      <c r="N4" t="s">
        <v>100</v>
      </c>
    </row>
    <row r="5" spans="1:15" x14ac:dyDescent="0.3">
      <c r="A5" s="14" t="s">
        <v>1</v>
      </c>
      <c r="B5" t="s">
        <v>41</v>
      </c>
      <c r="C5" t="s">
        <v>43</v>
      </c>
      <c r="D5">
        <v>1</v>
      </c>
      <c r="E5">
        <v>4</v>
      </c>
      <c r="F5" s="27">
        <v>7.1999999999999995E-2</v>
      </c>
      <c r="G5" s="27">
        <v>7.3999999999999996E-2</v>
      </c>
      <c r="H5" s="27">
        <f>(G5-F5)/F5</f>
        <v>2.7777777777777804E-2</v>
      </c>
      <c r="I5" s="9">
        <v>41456</v>
      </c>
      <c r="K5" s="37" t="s">
        <v>41</v>
      </c>
      <c r="L5">
        <v>8.1007861287977329E-4</v>
      </c>
      <c r="M5">
        <v>7.3767503904510923E-2</v>
      </c>
      <c r="N5">
        <v>18</v>
      </c>
    </row>
    <row r="6" spans="1:15" x14ac:dyDescent="0.3">
      <c r="A6" s="14" t="s">
        <v>1</v>
      </c>
      <c r="B6" t="s">
        <v>44</v>
      </c>
      <c r="C6" t="s">
        <v>45</v>
      </c>
      <c r="D6">
        <v>2</v>
      </c>
      <c r="E6">
        <v>4</v>
      </c>
      <c r="F6" s="27">
        <v>7.3999999999999996E-2</v>
      </c>
      <c r="G6" s="27">
        <v>6.9000000000000006E-2</v>
      </c>
      <c r="H6" s="27">
        <f t="shared" ref="H6:H69" si="0">(G6-F6)/F6</f>
        <v>-6.7567567567567446E-2</v>
      </c>
      <c r="I6" s="9">
        <v>41456</v>
      </c>
      <c r="K6" s="37" t="s">
        <v>44</v>
      </c>
      <c r="L6">
        <v>-1.1660165884774714E-2</v>
      </c>
      <c r="M6">
        <v>8.8554661273706356E-2</v>
      </c>
      <c r="N6">
        <v>18</v>
      </c>
    </row>
    <row r="7" spans="1:15" x14ac:dyDescent="0.3">
      <c r="A7" s="14" t="s">
        <v>1</v>
      </c>
      <c r="B7" t="s">
        <v>41</v>
      </c>
      <c r="C7" t="s">
        <v>46</v>
      </c>
      <c r="D7">
        <v>3</v>
      </c>
      <c r="E7">
        <v>4</v>
      </c>
      <c r="F7" s="27">
        <v>0.23799999999999999</v>
      </c>
      <c r="G7" s="27">
        <v>0.21199999999999999</v>
      </c>
      <c r="H7" s="27">
        <f t="shared" si="0"/>
        <v>-0.10924369747899158</v>
      </c>
      <c r="I7" s="9">
        <v>41456</v>
      </c>
      <c r="K7" s="37" t="s">
        <v>84</v>
      </c>
      <c r="L7">
        <v>-5.4250436359474692E-3</v>
      </c>
      <c r="M7">
        <v>8.057300120223379E-2</v>
      </c>
      <c r="N7">
        <v>36</v>
      </c>
    </row>
    <row r="8" spans="1:15" x14ac:dyDescent="0.3">
      <c r="A8" s="14" t="s">
        <v>1</v>
      </c>
      <c r="B8" t="s">
        <v>44</v>
      </c>
      <c r="C8" t="s">
        <v>47</v>
      </c>
      <c r="D8">
        <v>4</v>
      </c>
      <c r="E8">
        <v>3</v>
      </c>
      <c r="F8" s="27">
        <v>0.16400000000000001</v>
      </c>
      <c r="G8" s="27">
        <v>0.153</v>
      </c>
      <c r="H8" s="27">
        <f t="shared" si="0"/>
        <v>-6.7073170731707377E-2</v>
      </c>
      <c r="I8" s="9">
        <v>41456</v>
      </c>
    </row>
    <row r="9" spans="1:15" x14ac:dyDescent="0.3">
      <c r="A9" s="14" t="s">
        <v>1</v>
      </c>
      <c r="B9" t="s">
        <v>41</v>
      </c>
      <c r="C9" t="s">
        <v>43</v>
      </c>
      <c r="D9">
        <v>1</v>
      </c>
      <c r="E9">
        <v>4</v>
      </c>
      <c r="F9" s="27">
        <v>8.5999999999999993E-2</v>
      </c>
      <c r="G9" s="27">
        <v>0.1</v>
      </c>
      <c r="H9" s="27">
        <f t="shared" si="0"/>
        <v>0.16279069767441876</v>
      </c>
      <c r="I9" s="9">
        <v>41457</v>
      </c>
    </row>
    <row r="10" spans="1:15" x14ac:dyDescent="0.3">
      <c r="A10" s="14" t="s">
        <v>1</v>
      </c>
      <c r="B10" t="s">
        <v>44</v>
      </c>
      <c r="C10" t="s">
        <v>45</v>
      </c>
      <c r="D10">
        <v>2</v>
      </c>
      <c r="E10">
        <v>4</v>
      </c>
      <c r="F10" s="27">
        <v>0.17899999999999999</v>
      </c>
      <c r="G10" s="27">
        <v>0.20300000000000001</v>
      </c>
      <c r="H10" s="27">
        <f t="shared" si="0"/>
        <v>0.13407821229050293</v>
      </c>
      <c r="I10" s="9">
        <v>41457</v>
      </c>
      <c r="K10" s="59" t="s">
        <v>103</v>
      </c>
    </row>
    <row r="11" spans="1:15" x14ac:dyDescent="0.3">
      <c r="A11" s="14" t="s">
        <v>1</v>
      </c>
      <c r="B11" t="s">
        <v>41</v>
      </c>
      <c r="C11" t="s">
        <v>50</v>
      </c>
      <c r="D11">
        <v>3</v>
      </c>
      <c r="E11">
        <v>4</v>
      </c>
      <c r="F11" s="27">
        <v>0.13500000000000001</v>
      </c>
      <c r="G11" s="27">
        <v>0.127</v>
      </c>
      <c r="H11" s="27">
        <f t="shared" si="0"/>
        <v>-5.925925925925931E-2</v>
      </c>
      <c r="I11" s="9">
        <v>41457</v>
      </c>
      <c r="K11" s="37" t="s">
        <v>41</v>
      </c>
      <c r="L11">
        <v>3.9488508795193202E-2</v>
      </c>
      <c r="M11">
        <v>9.9127959948552211E-2</v>
      </c>
      <c r="N11">
        <v>32</v>
      </c>
      <c r="O11">
        <f>M11/SQRT(N11)</f>
        <v>1.7523513171202439E-2</v>
      </c>
    </row>
    <row r="12" spans="1:15" x14ac:dyDescent="0.3">
      <c r="A12" s="14" t="s">
        <v>1</v>
      </c>
      <c r="B12" t="s">
        <v>44</v>
      </c>
      <c r="C12" t="s">
        <v>51</v>
      </c>
      <c r="D12">
        <v>4</v>
      </c>
      <c r="E12">
        <v>7</v>
      </c>
      <c r="F12" s="27">
        <v>0.17599999999999999</v>
      </c>
      <c r="G12" s="27">
        <v>0.17599999999999999</v>
      </c>
      <c r="H12" s="27">
        <f t="shared" si="0"/>
        <v>0</v>
      </c>
      <c r="I12" s="9">
        <v>41457</v>
      </c>
      <c r="K12" s="37" t="s">
        <v>44</v>
      </c>
      <c r="L12">
        <v>2.9907367486534601E-2</v>
      </c>
      <c r="M12">
        <v>0.10377755523581625</v>
      </c>
      <c r="N12">
        <v>32</v>
      </c>
      <c r="O12">
        <f>M12/SQRT(N12)</f>
        <v>1.834545326055179E-2</v>
      </c>
    </row>
    <row r="13" spans="1:15" ht="15" thickBot="1" x14ac:dyDescent="0.35">
      <c r="A13" s="14" t="s">
        <v>61</v>
      </c>
      <c r="B13" t="s">
        <v>44</v>
      </c>
      <c r="C13" t="s">
        <v>47</v>
      </c>
      <c r="D13">
        <v>1</v>
      </c>
      <c r="E13">
        <v>2</v>
      </c>
      <c r="F13" s="27">
        <v>0.125</v>
      </c>
      <c r="G13" s="27">
        <v>0.124</v>
      </c>
      <c r="H13" s="27">
        <f t="shared" si="0"/>
        <v>-8.0000000000000071E-3</v>
      </c>
      <c r="I13" s="9">
        <v>41458</v>
      </c>
      <c r="K13" s="37"/>
    </row>
    <row r="14" spans="1:15" x14ac:dyDescent="0.3">
      <c r="A14" s="14" t="s">
        <v>61</v>
      </c>
      <c r="B14" t="s">
        <v>41</v>
      </c>
      <c r="C14" t="s">
        <v>46</v>
      </c>
      <c r="D14">
        <v>2</v>
      </c>
      <c r="E14">
        <v>3</v>
      </c>
      <c r="F14" s="27">
        <v>0.13700000000000001</v>
      </c>
      <c r="G14" s="27">
        <v>0.11600000000000001</v>
      </c>
      <c r="H14" s="27">
        <f t="shared" si="0"/>
        <v>-0.15328467153284675</v>
      </c>
      <c r="I14" s="9">
        <v>41458</v>
      </c>
      <c r="K14" s="60" t="s">
        <v>1</v>
      </c>
      <c r="L14" s="61">
        <v>-5.4250436359474692E-3</v>
      </c>
      <c r="M14" s="58">
        <v>8.057300120223379E-2</v>
      </c>
      <c r="N14" s="58">
        <v>36</v>
      </c>
      <c r="O14">
        <f t="shared" ref="O14:O15" si="1">M14/SQRT(N14)</f>
        <v>1.3428833533705631E-2</v>
      </c>
    </row>
    <row r="15" spans="1:15" ht="15" thickBot="1" x14ac:dyDescent="0.35">
      <c r="A15" s="14" t="s">
        <v>61</v>
      </c>
      <c r="B15" t="s">
        <v>44</v>
      </c>
      <c r="C15" t="s">
        <v>48</v>
      </c>
      <c r="D15">
        <v>3</v>
      </c>
      <c r="E15">
        <v>3</v>
      </c>
      <c r="F15" s="27">
        <v>0.128</v>
      </c>
      <c r="G15" s="27">
        <v>0.106</v>
      </c>
      <c r="H15" s="27">
        <f t="shared" si="0"/>
        <v>-0.17187500000000003</v>
      </c>
      <c r="I15" s="9">
        <v>41458</v>
      </c>
      <c r="K15" s="62" t="s">
        <v>61</v>
      </c>
      <c r="L15" s="63">
        <v>-7.2334516790042172E-2</v>
      </c>
      <c r="M15" s="58">
        <v>0.11258211615146302</v>
      </c>
      <c r="N15" s="58">
        <v>28</v>
      </c>
      <c r="O15">
        <f t="shared" si="1"/>
        <v>2.1276020100725664E-2</v>
      </c>
    </row>
    <row r="16" spans="1:15" x14ac:dyDescent="0.3">
      <c r="A16" s="14" t="s">
        <v>61</v>
      </c>
      <c r="B16" t="s">
        <v>41</v>
      </c>
      <c r="C16" t="s">
        <v>49</v>
      </c>
      <c r="D16">
        <v>4</v>
      </c>
      <c r="E16">
        <v>4</v>
      </c>
      <c r="F16" s="27">
        <v>0.41199999999999998</v>
      </c>
      <c r="G16" s="27">
        <v>0.40899999999999997</v>
      </c>
      <c r="H16" s="27">
        <f t="shared" si="0"/>
        <v>-7.2815533980582596E-3</v>
      </c>
      <c r="I16" s="9">
        <v>41458</v>
      </c>
      <c r="K16" s="37"/>
    </row>
    <row r="17" spans="1:15" x14ac:dyDescent="0.3">
      <c r="A17" s="14" t="s">
        <v>61</v>
      </c>
      <c r="B17" t="s">
        <v>44</v>
      </c>
      <c r="C17" t="s">
        <v>76</v>
      </c>
      <c r="D17">
        <v>1</v>
      </c>
      <c r="E17">
        <v>3</v>
      </c>
      <c r="F17" s="27">
        <v>0.23799999999999999</v>
      </c>
      <c r="G17" s="27">
        <v>0.18</v>
      </c>
      <c r="H17" s="27">
        <f t="shared" si="0"/>
        <v>-0.24369747899159663</v>
      </c>
      <c r="I17" s="9">
        <v>41459</v>
      </c>
    </row>
    <row r="18" spans="1:15" x14ac:dyDescent="0.3">
      <c r="A18" s="14" t="s">
        <v>61</v>
      </c>
      <c r="B18" t="s">
        <v>44</v>
      </c>
      <c r="C18" t="s">
        <v>75</v>
      </c>
      <c r="D18">
        <v>2</v>
      </c>
      <c r="E18">
        <v>3</v>
      </c>
      <c r="F18" s="27">
        <v>0.247</v>
      </c>
      <c r="G18" s="27">
        <v>0.24</v>
      </c>
      <c r="H18" s="27">
        <f t="shared" si="0"/>
        <v>-2.8340080971659944E-2</v>
      </c>
      <c r="I18" s="9">
        <v>41459</v>
      </c>
      <c r="K18" s="3" t="s">
        <v>1</v>
      </c>
    </row>
    <row r="19" spans="1:15" x14ac:dyDescent="0.3">
      <c r="A19" s="14" t="s">
        <v>61</v>
      </c>
      <c r="B19" t="s">
        <v>41</v>
      </c>
      <c r="C19" t="s">
        <v>77</v>
      </c>
      <c r="D19">
        <v>3</v>
      </c>
      <c r="E19">
        <v>3</v>
      </c>
      <c r="F19" s="27">
        <v>0.19800000000000001</v>
      </c>
      <c r="G19" s="27">
        <v>0.18099999999999999</v>
      </c>
      <c r="H19" s="27">
        <f t="shared" si="0"/>
        <v>-8.5858585858585926E-2</v>
      </c>
      <c r="I19" s="9">
        <v>41459</v>
      </c>
      <c r="K19" s="37" t="s">
        <v>41</v>
      </c>
      <c r="L19">
        <v>8.1007861287977329E-4</v>
      </c>
      <c r="M19">
        <v>7.3767503904510923E-2</v>
      </c>
      <c r="N19">
        <v>18</v>
      </c>
      <c r="O19">
        <f>M19/SQRT(N19)</f>
        <v>1.7387167414028265E-2</v>
      </c>
    </row>
    <row r="20" spans="1:15" x14ac:dyDescent="0.3">
      <c r="A20" s="14" t="s">
        <v>61</v>
      </c>
      <c r="B20" t="s">
        <v>41</v>
      </c>
      <c r="C20" t="s">
        <v>80</v>
      </c>
      <c r="D20">
        <v>4</v>
      </c>
      <c r="E20">
        <v>3</v>
      </c>
      <c r="F20" s="27">
        <v>0.44</v>
      </c>
      <c r="G20" s="27">
        <v>0.312</v>
      </c>
      <c r="H20" s="27">
        <f t="shared" si="0"/>
        <v>-0.29090909090909089</v>
      </c>
      <c r="I20" s="9">
        <v>41459</v>
      </c>
      <c r="K20" s="37" t="s">
        <v>44</v>
      </c>
      <c r="L20">
        <v>-1.1660165884774714E-2</v>
      </c>
      <c r="M20">
        <v>8.8554661273706356E-2</v>
      </c>
      <c r="N20">
        <v>18</v>
      </c>
      <c r="O20">
        <f>M20/SQRT(N20)</f>
        <v>2.0872533830771839E-2</v>
      </c>
    </row>
    <row r="21" spans="1:15" x14ac:dyDescent="0.3">
      <c r="A21" s="14" t="s">
        <v>1</v>
      </c>
      <c r="B21" t="s">
        <v>44</v>
      </c>
      <c r="C21" t="s">
        <v>78</v>
      </c>
      <c r="D21">
        <v>1</v>
      </c>
      <c r="E21">
        <v>5</v>
      </c>
      <c r="F21" s="27">
        <v>0.76800000000000002</v>
      </c>
      <c r="G21" s="27">
        <v>0.752</v>
      </c>
      <c r="H21" s="27">
        <f t="shared" si="0"/>
        <v>-2.0833333333333353E-2</v>
      </c>
      <c r="I21" s="9">
        <v>41460</v>
      </c>
    </row>
    <row r="22" spans="1:15" x14ac:dyDescent="0.3">
      <c r="A22" s="14" t="s">
        <v>1</v>
      </c>
      <c r="B22" t="s">
        <v>44</v>
      </c>
      <c r="C22" t="s">
        <v>81</v>
      </c>
      <c r="D22">
        <v>2</v>
      </c>
      <c r="E22">
        <v>4</v>
      </c>
      <c r="F22" s="27">
        <v>0.318</v>
      </c>
      <c r="G22" s="27">
        <v>0.32100000000000001</v>
      </c>
      <c r="H22" s="27">
        <f t="shared" si="0"/>
        <v>9.4339622641509517E-3</v>
      </c>
      <c r="I22" s="9">
        <v>41460</v>
      </c>
      <c r="K22" s="3" t="s">
        <v>61</v>
      </c>
    </row>
    <row r="23" spans="1:15" x14ac:dyDescent="0.3">
      <c r="A23" s="14" t="s">
        <v>1</v>
      </c>
      <c r="B23" t="s">
        <v>41</v>
      </c>
      <c r="C23" t="s">
        <v>74</v>
      </c>
      <c r="D23">
        <v>3</v>
      </c>
      <c r="E23">
        <v>4</v>
      </c>
      <c r="F23" s="27">
        <v>0.113</v>
      </c>
      <c r="G23" s="27">
        <v>0.124</v>
      </c>
      <c r="H23" s="27">
        <f t="shared" si="0"/>
        <v>9.7345132743362789E-2</v>
      </c>
      <c r="I23" s="9">
        <v>41460</v>
      </c>
      <c r="K23" s="37" t="s">
        <v>41</v>
      </c>
      <c r="L23">
        <v>-9.1300978319858464E-2</v>
      </c>
      <c r="M23">
        <v>0.10571876639254862</v>
      </c>
      <c r="N23">
        <v>14</v>
      </c>
      <c r="O23">
        <f>M23/SQRT(N23)</f>
        <v>2.8254528799522019E-2</v>
      </c>
    </row>
    <row r="24" spans="1:15" x14ac:dyDescent="0.3">
      <c r="A24" s="14" t="s">
        <v>1</v>
      </c>
      <c r="B24" t="s">
        <v>41</v>
      </c>
      <c r="C24" t="s">
        <v>79</v>
      </c>
      <c r="D24">
        <v>4</v>
      </c>
      <c r="E24">
        <v>4</v>
      </c>
      <c r="F24" s="27">
        <v>0.125</v>
      </c>
      <c r="G24" s="27">
        <v>0.126</v>
      </c>
      <c r="H24" s="27">
        <f t="shared" si="0"/>
        <v>8.0000000000000071E-3</v>
      </c>
      <c r="I24" s="9">
        <v>41460</v>
      </c>
      <c r="K24" s="37" t="s">
        <v>44</v>
      </c>
      <c r="L24">
        <v>-5.336805526022588E-2</v>
      </c>
      <c r="M24">
        <v>0.11988824691917029</v>
      </c>
      <c r="N24">
        <v>14</v>
      </c>
      <c r="O24">
        <f>M24/SQRT(N24)</f>
        <v>3.2041481762320835E-2</v>
      </c>
    </row>
    <row r="25" spans="1:15" x14ac:dyDescent="0.3">
      <c r="A25" s="14" t="s">
        <v>1</v>
      </c>
      <c r="B25" t="s">
        <v>41</v>
      </c>
      <c r="C25" t="s">
        <v>80</v>
      </c>
      <c r="D25">
        <v>1</v>
      </c>
      <c r="E25">
        <v>3</v>
      </c>
      <c r="F25" s="27">
        <v>0.307</v>
      </c>
      <c r="G25" s="27">
        <v>0.316</v>
      </c>
      <c r="H25" s="27">
        <f t="shared" si="0"/>
        <v>2.9315960912052144E-2</v>
      </c>
      <c r="I25" s="9">
        <v>41461</v>
      </c>
    </row>
    <row r="26" spans="1:15" x14ac:dyDescent="0.3">
      <c r="A26" s="14" t="s">
        <v>1</v>
      </c>
      <c r="B26" t="s">
        <v>41</v>
      </c>
      <c r="C26" t="s">
        <v>77</v>
      </c>
      <c r="D26">
        <v>2</v>
      </c>
      <c r="E26">
        <v>7</v>
      </c>
      <c r="F26" s="27">
        <v>0.35699999999999998</v>
      </c>
      <c r="G26" s="27">
        <v>0.39300000000000002</v>
      </c>
      <c r="H26" s="27">
        <f t="shared" si="0"/>
        <v>0.10084033613445388</v>
      </c>
      <c r="I26" s="9">
        <v>41461</v>
      </c>
    </row>
    <row r="27" spans="1:15" x14ac:dyDescent="0.3">
      <c r="A27" s="14" t="s">
        <v>1</v>
      </c>
      <c r="B27" t="s">
        <v>44</v>
      </c>
      <c r="C27" t="s">
        <v>76</v>
      </c>
      <c r="D27">
        <v>3</v>
      </c>
      <c r="E27">
        <v>5</v>
      </c>
      <c r="F27" s="27">
        <v>0.22900000000000001</v>
      </c>
      <c r="G27" s="27">
        <v>0.26500000000000001</v>
      </c>
      <c r="H27" s="27">
        <f t="shared" si="0"/>
        <v>0.15720524017467249</v>
      </c>
      <c r="I27" s="9">
        <v>41461</v>
      </c>
    </row>
    <row r="28" spans="1:15" x14ac:dyDescent="0.3">
      <c r="A28" s="14" t="s">
        <v>1</v>
      </c>
      <c r="B28" t="s">
        <v>44</v>
      </c>
      <c r="C28" t="s">
        <v>75</v>
      </c>
      <c r="D28">
        <v>4</v>
      </c>
      <c r="E28">
        <v>2</v>
      </c>
      <c r="F28" s="27">
        <v>0.17599999999999999</v>
      </c>
      <c r="G28" s="27">
        <v>0.20499999999999999</v>
      </c>
      <c r="H28" s="27">
        <f t="shared" si="0"/>
        <v>0.16477272727272727</v>
      </c>
      <c r="I28" s="9">
        <v>41461</v>
      </c>
    </row>
    <row r="29" spans="1:15" x14ac:dyDescent="0.3">
      <c r="A29" s="14" t="s">
        <v>61</v>
      </c>
      <c r="B29" t="s">
        <v>41</v>
      </c>
      <c r="C29" t="s">
        <v>50</v>
      </c>
      <c r="D29">
        <v>1</v>
      </c>
      <c r="E29">
        <v>3</v>
      </c>
      <c r="F29" s="27">
        <v>0.221</v>
      </c>
      <c r="I29" s="9">
        <v>41462</v>
      </c>
    </row>
    <row r="30" spans="1:15" x14ac:dyDescent="0.3">
      <c r="A30" s="14" t="s">
        <v>61</v>
      </c>
      <c r="B30" t="s">
        <v>41</v>
      </c>
      <c r="C30" t="s">
        <v>43</v>
      </c>
      <c r="D30">
        <v>2</v>
      </c>
      <c r="E30">
        <v>3</v>
      </c>
      <c r="F30" s="27">
        <v>0.157</v>
      </c>
      <c r="I30" s="9">
        <v>41462</v>
      </c>
    </row>
    <row r="31" spans="1:15" x14ac:dyDescent="0.3">
      <c r="A31" s="14" t="s">
        <v>61</v>
      </c>
      <c r="B31" t="s">
        <v>44</v>
      </c>
      <c r="C31" t="s">
        <v>51</v>
      </c>
      <c r="D31">
        <v>3</v>
      </c>
      <c r="E31">
        <v>2</v>
      </c>
      <c r="F31" s="27">
        <v>0.14299999999999999</v>
      </c>
      <c r="I31" s="9">
        <v>41462</v>
      </c>
    </row>
    <row r="32" spans="1:15" x14ac:dyDescent="0.3">
      <c r="A32" s="14" t="s">
        <v>61</v>
      </c>
      <c r="B32" t="s">
        <v>44</v>
      </c>
      <c r="C32" t="s">
        <v>45</v>
      </c>
      <c r="D32">
        <v>4</v>
      </c>
      <c r="E32">
        <v>3</v>
      </c>
      <c r="F32" s="27">
        <v>0.35699999999999998</v>
      </c>
      <c r="I32" s="9">
        <v>41462</v>
      </c>
    </row>
    <row r="33" spans="1:9" x14ac:dyDescent="0.3">
      <c r="A33" s="14" t="s">
        <v>61</v>
      </c>
      <c r="B33" t="s">
        <v>44</v>
      </c>
      <c r="C33" t="s">
        <v>78</v>
      </c>
      <c r="D33">
        <v>1</v>
      </c>
      <c r="E33">
        <v>4</v>
      </c>
      <c r="F33" s="27">
        <v>0.46300000000000002</v>
      </c>
      <c r="G33" s="27">
        <v>0.40799999999999997</v>
      </c>
      <c r="H33" s="27">
        <f t="shared" si="0"/>
        <v>-0.11879049676025928</v>
      </c>
      <c r="I33" s="9">
        <v>41463</v>
      </c>
    </row>
    <row r="34" spans="1:9" x14ac:dyDescent="0.3">
      <c r="A34" s="14" t="s">
        <v>61</v>
      </c>
      <c r="B34" t="s">
        <v>44</v>
      </c>
      <c r="C34" t="s">
        <v>81</v>
      </c>
      <c r="D34">
        <v>2</v>
      </c>
      <c r="E34">
        <v>3</v>
      </c>
      <c r="F34" s="27">
        <v>0.255</v>
      </c>
      <c r="G34" s="27">
        <v>0.27200000000000002</v>
      </c>
      <c r="H34" s="27">
        <f t="shared" si="0"/>
        <v>6.6666666666666721E-2</v>
      </c>
      <c r="I34" s="9">
        <v>41463</v>
      </c>
    </row>
    <row r="35" spans="1:9" x14ac:dyDescent="0.3">
      <c r="A35" s="14" t="s">
        <v>61</v>
      </c>
      <c r="B35" t="s">
        <v>41</v>
      </c>
      <c r="C35" t="s">
        <v>74</v>
      </c>
      <c r="D35">
        <v>3</v>
      </c>
      <c r="E35">
        <v>3</v>
      </c>
      <c r="F35" s="27">
        <v>0.189</v>
      </c>
      <c r="G35" s="27">
        <v>0.2</v>
      </c>
      <c r="H35" s="27">
        <f t="shared" si="0"/>
        <v>5.8201058201058253E-2</v>
      </c>
      <c r="I35" s="9">
        <v>41463</v>
      </c>
    </row>
    <row r="36" spans="1:9" x14ac:dyDescent="0.3">
      <c r="A36" s="14" t="s">
        <v>61</v>
      </c>
      <c r="B36" t="s">
        <v>41</v>
      </c>
      <c r="C36" t="s">
        <v>79</v>
      </c>
      <c r="D36">
        <v>4</v>
      </c>
      <c r="E36">
        <v>6</v>
      </c>
      <c r="F36" s="27">
        <v>0.29199999999999998</v>
      </c>
      <c r="G36" s="27">
        <v>0.22700000000000001</v>
      </c>
      <c r="H36" s="27">
        <f t="shared" si="0"/>
        <v>-0.22260273972602732</v>
      </c>
      <c r="I36" s="9">
        <v>41463</v>
      </c>
    </row>
    <row r="37" spans="1:9" x14ac:dyDescent="0.3">
      <c r="A37" s="14" t="s">
        <v>1</v>
      </c>
      <c r="B37" t="s">
        <v>41</v>
      </c>
      <c r="C37" t="s">
        <v>46</v>
      </c>
      <c r="D37">
        <v>1</v>
      </c>
      <c r="E37">
        <v>5</v>
      </c>
      <c r="F37" s="27">
        <v>0.40200000000000002</v>
      </c>
      <c r="G37" s="27">
        <v>0.38800000000000001</v>
      </c>
      <c r="H37" s="27">
        <f t="shared" si="0"/>
        <v>-3.4825870646766198E-2</v>
      </c>
      <c r="I37" s="9">
        <v>41464</v>
      </c>
    </row>
    <row r="38" spans="1:9" x14ac:dyDescent="0.3">
      <c r="A38" s="14" t="s">
        <v>1</v>
      </c>
      <c r="B38" t="s">
        <v>41</v>
      </c>
      <c r="C38" t="s">
        <v>49</v>
      </c>
      <c r="D38">
        <v>2</v>
      </c>
      <c r="E38">
        <v>1</v>
      </c>
      <c r="F38" s="27">
        <v>6.9000000000000006E-2</v>
      </c>
      <c r="G38" s="27">
        <v>7.0000000000000007E-2</v>
      </c>
      <c r="H38" s="27">
        <f t="shared" si="0"/>
        <v>1.4492753623188418E-2</v>
      </c>
      <c r="I38" s="9">
        <v>41464</v>
      </c>
    </row>
    <row r="39" spans="1:9" x14ac:dyDescent="0.3">
      <c r="A39" s="14" t="s">
        <v>1</v>
      </c>
      <c r="B39" t="s">
        <v>44</v>
      </c>
      <c r="C39" t="s">
        <v>47</v>
      </c>
      <c r="D39">
        <v>3</v>
      </c>
      <c r="E39">
        <v>4</v>
      </c>
      <c r="F39" s="27">
        <v>0.25</v>
      </c>
      <c r="G39" s="27">
        <v>0.23200000000000001</v>
      </c>
      <c r="H39" s="27">
        <f t="shared" si="0"/>
        <v>-7.1999999999999953E-2</v>
      </c>
      <c r="I39" s="9">
        <v>41464</v>
      </c>
    </row>
    <row r="40" spans="1:9" x14ac:dyDescent="0.3">
      <c r="A40" s="14" t="s">
        <v>1</v>
      </c>
      <c r="B40" t="s">
        <v>44</v>
      </c>
      <c r="C40" t="s">
        <v>48</v>
      </c>
      <c r="D40">
        <v>4</v>
      </c>
      <c r="E40">
        <v>1</v>
      </c>
      <c r="F40" s="27">
        <v>0.14799999999999999</v>
      </c>
      <c r="G40" s="27">
        <v>0.14199999999999999</v>
      </c>
      <c r="H40" s="27">
        <f t="shared" si="0"/>
        <v>-4.0540540540540577E-2</v>
      </c>
      <c r="I40" s="9">
        <v>41464</v>
      </c>
    </row>
    <row r="41" spans="1:9" x14ac:dyDescent="0.3">
      <c r="A41" s="14" t="s">
        <v>61</v>
      </c>
      <c r="B41" t="s">
        <v>41</v>
      </c>
      <c r="C41" t="s">
        <v>46</v>
      </c>
      <c r="D41">
        <v>1</v>
      </c>
      <c r="E41">
        <v>4</v>
      </c>
      <c r="F41" s="27">
        <v>0.154</v>
      </c>
      <c r="G41" s="27">
        <v>0.159</v>
      </c>
      <c r="H41" s="27">
        <f t="shared" si="0"/>
        <v>3.2467532467532499E-2</v>
      </c>
      <c r="I41" s="9">
        <v>41465</v>
      </c>
    </row>
    <row r="42" spans="1:9" x14ac:dyDescent="0.3">
      <c r="A42" s="14" t="s">
        <v>61</v>
      </c>
      <c r="B42" t="s">
        <v>41</v>
      </c>
      <c r="C42" t="s">
        <v>49</v>
      </c>
      <c r="D42">
        <v>2</v>
      </c>
      <c r="E42">
        <v>1</v>
      </c>
      <c r="F42" s="27">
        <v>4.8000000000000001E-2</v>
      </c>
      <c r="G42" s="27">
        <v>4.9000000000000002E-2</v>
      </c>
      <c r="H42" s="27">
        <f t="shared" si="0"/>
        <v>2.0833333333333353E-2</v>
      </c>
      <c r="I42" s="9">
        <v>41465</v>
      </c>
    </row>
    <row r="43" spans="1:9" x14ac:dyDescent="0.3">
      <c r="A43" s="14" t="s">
        <v>61</v>
      </c>
      <c r="B43" t="s">
        <v>44</v>
      </c>
      <c r="C43" t="s">
        <v>47</v>
      </c>
      <c r="D43">
        <v>3</v>
      </c>
      <c r="E43">
        <v>3</v>
      </c>
      <c r="F43" s="27">
        <v>0.41499999999999998</v>
      </c>
      <c r="G43" s="27">
        <v>0.375</v>
      </c>
      <c r="H43" s="27">
        <f t="shared" si="0"/>
        <v>-9.6385542168674662E-2</v>
      </c>
      <c r="I43" s="9">
        <v>41465</v>
      </c>
    </row>
    <row r="44" spans="1:9" x14ac:dyDescent="0.3">
      <c r="A44" s="14" t="s">
        <v>61</v>
      </c>
      <c r="B44" t="s">
        <v>44</v>
      </c>
      <c r="C44" t="s">
        <v>48</v>
      </c>
      <c r="D44">
        <v>4</v>
      </c>
      <c r="E44">
        <v>1</v>
      </c>
      <c r="F44" s="27">
        <v>0.13900000000000001</v>
      </c>
      <c r="G44" s="27">
        <v>0.17</v>
      </c>
      <c r="H44" s="27">
        <f t="shared" si="0"/>
        <v>0.22302158273381292</v>
      </c>
      <c r="I44" s="9">
        <v>41465</v>
      </c>
    </row>
    <row r="45" spans="1:9" x14ac:dyDescent="0.3">
      <c r="A45" s="14" t="s">
        <v>1</v>
      </c>
      <c r="B45" t="s">
        <v>41</v>
      </c>
      <c r="C45" t="s">
        <v>79</v>
      </c>
      <c r="D45">
        <v>1</v>
      </c>
      <c r="E45">
        <v>3</v>
      </c>
      <c r="F45" s="27">
        <v>0.29899999999999999</v>
      </c>
      <c r="G45" s="27">
        <v>0.27300000000000002</v>
      </c>
      <c r="H45" s="27">
        <f t="shared" si="0"/>
        <v>-8.6956521739130335E-2</v>
      </c>
      <c r="I45" s="9">
        <v>41466</v>
      </c>
    </row>
    <row r="46" spans="1:9" x14ac:dyDescent="0.3">
      <c r="A46" s="14" t="s">
        <v>1</v>
      </c>
      <c r="B46" t="s">
        <v>44</v>
      </c>
      <c r="C46" t="s">
        <v>81</v>
      </c>
      <c r="D46">
        <v>2</v>
      </c>
      <c r="E46">
        <v>3</v>
      </c>
      <c r="F46" s="27">
        <v>0.36799999999999999</v>
      </c>
      <c r="G46" s="27">
        <v>0.35099999999999998</v>
      </c>
      <c r="H46" s="27">
        <f t="shared" si="0"/>
        <v>-4.6195652173913082E-2</v>
      </c>
      <c r="I46" s="9">
        <v>41466</v>
      </c>
    </row>
    <row r="47" spans="1:9" x14ac:dyDescent="0.3">
      <c r="A47" s="14" t="s">
        <v>1</v>
      </c>
      <c r="B47" t="s">
        <v>44</v>
      </c>
      <c r="C47" t="s">
        <v>76</v>
      </c>
      <c r="D47">
        <v>3</v>
      </c>
      <c r="E47">
        <v>5</v>
      </c>
      <c r="F47" s="27">
        <v>0.32900000000000001</v>
      </c>
      <c r="G47" s="27">
        <v>0.28100000000000003</v>
      </c>
      <c r="H47" s="27">
        <f t="shared" si="0"/>
        <v>-0.14589665653495437</v>
      </c>
      <c r="I47" s="9">
        <v>41466</v>
      </c>
    </row>
    <row r="48" spans="1:9" x14ac:dyDescent="0.3">
      <c r="A48" s="14" t="s">
        <v>1</v>
      </c>
      <c r="B48" t="s">
        <v>41</v>
      </c>
      <c r="C48" t="s">
        <v>77</v>
      </c>
      <c r="D48">
        <v>4</v>
      </c>
      <c r="E48">
        <v>4</v>
      </c>
      <c r="F48" s="27">
        <v>0.189</v>
      </c>
      <c r="G48" s="27">
        <v>0.191</v>
      </c>
      <c r="H48" s="27">
        <f t="shared" si="0"/>
        <v>1.0582010582010592E-2</v>
      </c>
      <c r="I48" s="9">
        <v>41466</v>
      </c>
    </row>
    <row r="49" spans="1:9" x14ac:dyDescent="0.3">
      <c r="A49" s="14" t="s">
        <v>61</v>
      </c>
      <c r="B49" t="s">
        <v>44</v>
      </c>
      <c r="C49" t="s">
        <v>51</v>
      </c>
      <c r="D49">
        <v>1</v>
      </c>
      <c r="E49">
        <v>3</v>
      </c>
      <c r="F49" s="27">
        <v>0.22800000000000001</v>
      </c>
      <c r="G49" s="27">
        <v>0.22</v>
      </c>
      <c r="H49" s="27">
        <f t="shared" si="0"/>
        <v>-3.5087719298245647E-2</v>
      </c>
      <c r="I49" s="9">
        <v>41467</v>
      </c>
    </row>
    <row r="50" spans="1:9" x14ac:dyDescent="0.3">
      <c r="A50" s="14" t="s">
        <v>61</v>
      </c>
      <c r="B50" t="s">
        <v>44</v>
      </c>
      <c r="C50" t="s">
        <v>45</v>
      </c>
      <c r="D50">
        <v>2</v>
      </c>
      <c r="E50">
        <v>3</v>
      </c>
      <c r="F50" s="27">
        <v>0.16400000000000001</v>
      </c>
      <c r="G50" s="27">
        <v>0.16</v>
      </c>
      <c r="H50" s="27">
        <f t="shared" si="0"/>
        <v>-2.4390243902439046E-2</v>
      </c>
      <c r="I50" s="9">
        <v>41467</v>
      </c>
    </row>
    <row r="51" spans="1:9" x14ac:dyDescent="0.3">
      <c r="A51" s="14" t="s">
        <v>61</v>
      </c>
      <c r="B51" t="s">
        <v>41</v>
      </c>
      <c r="C51" t="s">
        <v>50</v>
      </c>
      <c r="D51">
        <v>3</v>
      </c>
      <c r="E51">
        <v>3</v>
      </c>
      <c r="F51" s="27">
        <v>0.29699999999999999</v>
      </c>
      <c r="G51" s="27">
        <v>0.28499999999999998</v>
      </c>
      <c r="H51" s="27">
        <f t="shared" si="0"/>
        <v>-4.0404040404040442E-2</v>
      </c>
      <c r="I51" s="9">
        <v>41467</v>
      </c>
    </row>
    <row r="52" spans="1:9" x14ac:dyDescent="0.3">
      <c r="A52" s="14" t="s">
        <v>61</v>
      </c>
      <c r="B52" t="s">
        <v>41</v>
      </c>
      <c r="C52" t="s">
        <v>43</v>
      </c>
      <c r="D52">
        <v>4</v>
      </c>
      <c r="E52">
        <v>3</v>
      </c>
      <c r="F52" s="27">
        <v>0.48799999999999999</v>
      </c>
      <c r="G52" s="27">
        <v>0.41</v>
      </c>
      <c r="H52" s="27">
        <f t="shared" si="0"/>
        <v>-0.15983606557377053</v>
      </c>
      <c r="I52" s="9">
        <v>41467</v>
      </c>
    </row>
    <row r="53" spans="1:9" x14ac:dyDescent="0.3">
      <c r="A53" s="14" t="s">
        <v>1</v>
      </c>
      <c r="B53" t="s">
        <v>44</v>
      </c>
      <c r="C53" t="s">
        <v>47</v>
      </c>
      <c r="D53">
        <v>1</v>
      </c>
      <c r="E53">
        <v>3</v>
      </c>
      <c r="F53" s="27">
        <v>0.122</v>
      </c>
      <c r="G53" s="27">
        <v>0.129</v>
      </c>
      <c r="H53" s="27">
        <f t="shared" si="0"/>
        <v>5.7377049180327919E-2</v>
      </c>
      <c r="I53" s="9">
        <v>41468</v>
      </c>
    </row>
    <row r="54" spans="1:9" x14ac:dyDescent="0.3">
      <c r="A54" s="14" t="s">
        <v>1</v>
      </c>
      <c r="B54" t="s">
        <v>44</v>
      </c>
      <c r="C54" t="s">
        <v>48</v>
      </c>
      <c r="D54">
        <v>2</v>
      </c>
      <c r="E54">
        <v>5</v>
      </c>
      <c r="F54" s="27">
        <v>0.217</v>
      </c>
      <c r="G54" s="27">
        <v>0.20799999999999999</v>
      </c>
      <c r="H54" s="27">
        <f t="shared" si="0"/>
        <v>-4.147465437788022E-2</v>
      </c>
      <c r="I54" s="9">
        <v>41468</v>
      </c>
    </row>
    <row r="55" spans="1:9" x14ac:dyDescent="0.3">
      <c r="A55" s="14" t="s">
        <v>1</v>
      </c>
      <c r="B55" t="s">
        <v>41</v>
      </c>
      <c r="C55" t="s">
        <v>46</v>
      </c>
      <c r="D55">
        <v>3</v>
      </c>
      <c r="E55">
        <v>4</v>
      </c>
      <c r="F55" s="27">
        <v>0.2</v>
      </c>
      <c r="G55" s="27">
        <v>0.191</v>
      </c>
      <c r="H55" s="27">
        <f t="shared" si="0"/>
        <v>-4.500000000000004E-2</v>
      </c>
      <c r="I55" s="9">
        <v>41468</v>
      </c>
    </row>
    <row r="56" spans="1:9" x14ac:dyDescent="0.3">
      <c r="A56" s="14" t="s">
        <v>1</v>
      </c>
      <c r="B56" t="s">
        <v>41</v>
      </c>
      <c r="C56" t="s">
        <v>49</v>
      </c>
      <c r="D56">
        <v>4</v>
      </c>
      <c r="E56">
        <v>4</v>
      </c>
      <c r="F56" s="27">
        <v>0.186</v>
      </c>
      <c r="G56" s="27">
        <v>0.183</v>
      </c>
      <c r="H56" s="27">
        <f t="shared" si="0"/>
        <v>-1.612903225806453E-2</v>
      </c>
      <c r="I56" s="9">
        <v>41468</v>
      </c>
    </row>
    <row r="57" spans="1:9" x14ac:dyDescent="0.3">
      <c r="A57" s="14" t="s">
        <v>1</v>
      </c>
      <c r="B57" t="s">
        <v>44</v>
      </c>
      <c r="C57" t="s">
        <v>47</v>
      </c>
      <c r="D57">
        <v>1</v>
      </c>
      <c r="E57">
        <v>3</v>
      </c>
      <c r="F57" s="27">
        <v>0.152</v>
      </c>
      <c r="G57" s="27">
        <v>0.14799999999999999</v>
      </c>
      <c r="H57" s="27">
        <f t="shared" si="0"/>
        <v>-2.6315789473684233E-2</v>
      </c>
      <c r="I57" s="9">
        <v>41469</v>
      </c>
    </row>
    <row r="58" spans="1:9" x14ac:dyDescent="0.3">
      <c r="A58" s="14" t="s">
        <v>1</v>
      </c>
      <c r="B58" t="s">
        <v>44</v>
      </c>
      <c r="C58" t="s">
        <v>51</v>
      </c>
      <c r="D58">
        <v>2</v>
      </c>
      <c r="E58">
        <v>3</v>
      </c>
      <c r="F58" s="27">
        <v>0.124</v>
      </c>
      <c r="G58" s="27">
        <v>0.11799999999999999</v>
      </c>
      <c r="H58" s="27">
        <f t="shared" si="0"/>
        <v>-4.8387096774193589E-2</v>
      </c>
      <c r="I58" s="9">
        <v>41469</v>
      </c>
    </row>
    <row r="59" spans="1:9" x14ac:dyDescent="0.3">
      <c r="A59" s="14" t="s">
        <v>1</v>
      </c>
      <c r="B59" t="s">
        <v>41</v>
      </c>
      <c r="C59" t="s">
        <v>46</v>
      </c>
      <c r="D59">
        <v>3</v>
      </c>
      <c r="E59">
        <v>4</v>
      </c>
      <c r="F59" s="27">
        <v>0.16600000000000001</v>
      </c>
      <c r="G59" s="27">
        <v>0.14599999999999999</v>
      </c>
      <c r="H59" s="27">
        <f t="shared" si="0"/>
        <v>-0.12048192771084347</v>
      </c>
      <c r="I59" s="9">
        <v>41469</v>
      </c>
    </row>
    <row r="60" spans="1:9" x14ac:dyDescent="0.3">
      <c r="A60" s="14" t="s">
        <v>1</v>
      </c>
      <c r="B60" t="s">
        <v>41</v>
      </c>
      <c r="C60" t="s">
        <v>50</v>
      </c>
      <c r="D60">
        <v>4</v>
      </c>
      <c r="E60">
        <v>4</v>
      </c>
      <c r="F60" s="27">
        <v>0.186</v>
      </c>
      <c r="G60" s="27">
        <v>0.18</v>
      </c>
      <c r="H60" s="27">
        <f t="shared" si="0"/>
        <v>-3.2258064516129059E-2</v>
      </c>
      <c r="I60" s="9">
        <v>41469</v>
      </c>
    </row>
    <row r="61" spans="1:9" x14ac:dyDescent="0.3">
      <c r="A61" s="14" t="s">
        <v>1</v>
      </c>
      <c r="B61" t="s">
        <v>41</v>
      </c>
      <c r="C61" t="s">
        <v>50</v>
      </c>
      <c r="D61">
        <v>1</v>
      </c>
      <c r="E61">
        <v>4</v>
      </c>
      <c r="F61" s="27">
        <v>0.159</v>
      </c>
      <c r="G61" s="27">
        <v>0.16400000000000001</v>
      </c>
      <c r="H61" s="27">
        <f t="shared" si="0"/>
        <v>3.1446540880503172E-2</v>
      </c>
      <c r="I61" s="9">
        <v>41470</v>
      </c>
    </row>
    <row r="62" spans="1:9" x14ac:dyDescent="0.3">
      <c r="A62" s="14" t="s">
        <v>1</v>
      </c>
      <c r="B62" t="s">
        <v>41</v>
      </c>
      <c r="C62" t="s">
        <v>43</v>
      </c>
      <c r="D62">
        <v>2</v>
      </c>
      <c r="E62">
        <v>4</v>
      </c>
      <c r="F62" s="27">
        <v>0.16600000000000001</v>
      </c>
      <c r="G62" s="27">
        <v>0.17199999999999999</v>
      </c>
      <c r="H62" s="27">
        <f t="shared" si="0"/>
        <v>3.6144578313252872E-2</v>
      </c>
      <c r="I62" s="9">
        <v>41470</v>
      </c>
    </row>
    <row r="63" spans="1:9" x14ac:dyDescent="0.3">
      <c r="A63" s="14" t="s">
        <v>1</v>
      </c>
      <c r="B63" t="s">
        <v>44</v>
      </c>
      <c r="C63" t="s">
        <v>51</v>
      </c>
      <c r="D63">
        <v>3</v>
      </c>
      <c r="E63">
        <v>5</v>
      </c>
      <c r="F63" s="27">
        <v>0.246</v>
      </c>
      <c r="G63" s="27">
        <v>0.24</v>
      </c>
      <c r="H63" s="27">
        <f t="shared" si="0"/>
        <v>-2.4390243902439046E-2</v>
      </c>
      <c r="I63" s="9">
        <v>41470</v>
      </c>
    </row>
    <row r="64" spans="1:9" x14ac:dyDescent="0.3">
      <c r="A64" s="14" t="s">
        <v>1</v>
      </c>
      <c r="B64" t="s">
        <v>44</v>
      </c>
      <c r="C64" t="s">
        <v>45</v>
      </c>
      <c r="D64">
        <v>4</v>
      </c>
      <c r="E64">
        <v>3</v>
      </c>
      <c r="F64" s="27">
        <v>0.159</v>
      </c>
      <c r="G64" s="27">
        <v>0.13800000000000001</v>
      </c>
      <c r="H64" s="27">
        <f t="shared" si="0"/>
        <v>-0.13207547169811315</v>
      </c>
      <c r="I64" s="9">
        <v>41470</v>
      </c>
    </row>
    <row r="65" spans="1:10" x14ac:dyDescent="0.3">
      <c r="A65" s="14" t="s">
        <v>61</v>
      </c>
      <c r="B65" t="s">
        <v>44</v>
      </c>
      <c r="C65" t="s">
        <v>47</v>
      </c>
      <c r="D65">
        <v>1</v>
      </c>
      <c r="E65">
        <v>2</v>
      </c>
      <c r="F65" s="27">
        <v>0.34300000000000003</v>
      </c>
      <c r="G65" s="27">
        <v>0.35499999999999998</v>
      </c>
      <c r="H65" s="27">
        <f t="shared" si="0"/>
        <v>3.4985422740524651E-2</v>
      </c>
      <c r="I65" s="9">
        <v>41471</v>
      </c>
    </row>
    <row r="66" spans="1:10" x14ac:dyDescent="0.3">
      <c r="A66" s="14" t="s">
        <v>61</v>
      </c>
      <c r="B66" t="s">
        <v>44</v>
      </c>
      <c r="C66" t="s">
        <v>48</v>
      </c>
      <c r="D66">
        <v>2</v>
      </c>
      <c r="E66">
        <v>2</v>
      </c>
      <c r="F66" s="27">
        <v>0.23899999999999999</v>
      </c>
      <c r="G66" s="27">
        <v>0.217</v>
      </c>
      <c r="H66" s="27">
        <f t="shared" si="0"/>
        <v>-9.2050209205020883E-2</v>
      </c>
      <c r="I66" s="9">
        <v>41471</v>
      </c>
      <c r="J66" t="s">
        <v>94</v>
      </c>
    </row>
    <row r="67" spans="1:10" x14ac:dyDescent="0.3">
      <c r="A67" s="14" t="s">
        <v>61</v>
      </c>
      <c r="B67" t="s">
        <v>41</v>
      </c>
      <c r="C67" t="s">
        <v>46</v>
      </c>
      <c r="D67">
        <v>3</v>
      </c>
      <c r="E67">
        <v>2</v>
      </c>
      <c r="F67" s="27">
        <v>0.16300000000000001</v>
      </c>
      <c r="G67" s="27">
        <v>0.13800000000000001</v>
      </c>
      <c r="H67" s="27">
        <f t="shared" si="0"/>
        <v>-0.1533742331288343</v>
      </c>
      <c r="I67" s="9">
        <v>41471</v>
      </c>
    </row>
    <row r="68" spans="1:10" x14ac:dyDescent="0.3">
      <c r="A68" s="14" t="s">
        <v>61</v>
      </c>
      <c r="B68" t="s">
        <v>41</v>
      </c>
      <c r="C68" t="s">
        <v>49</v>
      </c>
      <c r="D68">
        <v>4</v>
      </c>
      <c r="E68">
        <v>1</v>
      </c>
      <c r="F68" s="27">
        <v>0.188</v>
      </c>
      <c r="G68" s="27">
        <v>0.16400000000000001</v>
      </c>
      <c r="H68" s="27">
        <f t="shared" si="0"/>
        <v>-0.12765957446808507</v>
      </c>
      <c r="I68" s="9">
        <v>41471</v>
      </c>
    </row>
    <row r="69" spans="1:10" x14ac:dyDescent="0.3">
      <c r="A69" s="14" t="s">
        <v>61</v>
      </c>
      <c r="B69" t="s">
        <v>41</v>
      </c>
      <c r="C69" t="s">
        <v>50</v>
      </c>
      <c r="D69">
        <v>1</v>
      </c>
      <c r="E69">
        <v>2</v>
      </c>
      <c r="F69" s="27">
        <v>0.20899999999999999</v>
      </c>
      <c r="G69" s="27">
        <v>0.17599999999999999</v>
      </c>
      <c r="H69" s="27">
        <f t="shared" si="0"/>
        <v>-0.15789473684210528</v>
      </c>
      <c r="I69" s="9">
        <v>41472</v>
      </c>
    </row>
    <row r="70" spans="1:10" x14ac:dyDescent="0.3">
      <c r="A70" s="14" t="s">
        <v>61</v>
      </c>
      <c r="B70" t="s">
        <v>41</v>
      </c>
      <c r="C70" t="s">
        <v>43</v>
      </c>
      <c r="D70">
        <v>2</v>
      </c>
      <c r="E70">
        <v>2</v>
      </c>
      <c r="F70" s="27">
        <v>0.21299999999999999</v>
      </c>
      <c r="G70" s="27">
        <v>0.215</v>
      </c>
      <c r="H70" s="27">
        <f t="shared" ref="H70:H72" si="2">(G70-F70)/F70</f>
        <v>9.3896713615023563E-3</v>
      </c>
      <c r="I70" s="9">
        <v>41472</v>
      </c>
    </row>
    <row r="71" spans="1:10" x14ac:dyDescent="0.3">
      <c r="A71" s="14" t="s">
        <v>61</v>
      </c>
      <c r="B71" t="s">
        <v>44</v>
      </c>
      <c r="C71" t="s">
        <v>51</v>
      </c>
      <c r="D71">
        <v>3</v>
      </c>
      <c r="E71">
        <v>4</v>
      </c>
      <c r="F71" s="27">
        <v>0.42299999999999999</v>
      </c>
      <c r="G71" s="27">
        <v>0.40699999999999997</v>
      </c>
      <c r="H71" s="27">
        <f t="shared" si="2"/>
        <v>-3.782505910165488E-2</v>
      </c>
      <c r="I71" s="9">
        <v>41472</v>
      </c>
      <c r="J71" t="s">
        <v>94</v>
      </c>
    </row>
    <row r="72" spans="1:10" x14ac:dyDescent="0.3">
      <c r="A72" s="14" t="s">
        <v>61</v>
      </c>
      <c r="B72" t="s">
        <v>44</v>
      </c>
      <c r="C72" t="s">
        <v>45</v>
      </c>
      <c r="D72">
        <v>4</v>
      </c>
      <c r="E72">
        <v>3</v>
      </c>
      <c r="F72" s="27">
        <v>0.26</v>
      </c>
      <c r="G72" s="27">
        <v>0.20399999999999999</v>
      </c>
      <c r="H72" s="27">
        <f t="shared" si="2"/>
        <v>-0.21538461538461545</v>
      </c>
      <c r="I72" s="9">
        <v>41472</v>
      </c>
      <c r="J72" t="s">
        <v>94</v>
      </c>
    </row>
    <row r="73" spans="1:10" x14ac:dyDescent="0.3">
      <c r="A73" s="14" t="s">
        <v>61</v>
      </c>
      <c r="B73" t="s">
        <v>44</v>
      </c>
      <c r="C73" t="s">
        <v>51</v>
      </c>
      <c r="D73">
        <v>1</v>
      </c>
      <c r="E73">
        <v>4</v>
      </c>
      <c r="F73" s="27">
        <v>0.4</v>
      </c>
      <c r="I73" s="9">
        <v>41473</v>
      </c>
    </row>
    <row r="74" spans="1:10" x14ac:dyDescent="0.3">
      <c r="A74" s="14" t="s">
        <v>61</v>
      </c>
      <c r="B74" t="s">
        <v>44</v>
      </c>
      <c r="C74" t="s">
        <v>45</v>
      </c>
      <c r="D74">
        <v>2</v>
      </c>
      <c r="E74">
        <v>3</v>
      </c>
      <c r="F74" s="27">
        <v>0.22800000000000001</v>
      </c>
      <c r="I74" s="9">
        <v>41473</v>
      </c>
    </row>
    <row r="75" spans="1:10" x14ac:dyDescent="0.3">
      <c r="A75" s="14" t="s">
        <v>61</v>
      </c>
      <c r="B75" t="s">
        <v>41</v>
      </c>
      <c r="C75" t="s">
        <v>50</v>
      </c>
      <c r="D75">
        <v>3</v>
      </c>
      <c r="E75">
        <v>4</v>
      </c>
      <c r="F75" s="27">
        <v>0.124</v>
      </c>
      <c r="I75" s="9">
        <v>41473</v>
      </c>
    </row>
    <row r="76" spans="1:10" x14ac:dyDescent="0.3">
      <c r="A76" s="14" t="s">
        <v>61</v>
      </c>
      <c r="B76" t="s">
        <v>41</v>
      </c>
      <c r="C76" t="s">
        <v>43</v>
      </c>
      <c r="D76">
        <v>4</v>
      </c>
      <c r="E76">
        <v>2</v>
      </c>
      <c r="F76" s="27">
        <v>0.28199999999999997</v>
      </c>
      <c r="I76" s="9">
        <v>41473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8"/>
  <sheetViews>
    <sheetView workbookViewId="0">
      <selection sqref="A1:XFD1048576"/>
    </sheetView>
  </sheetViews>
  <sheetFormatPr defaultColWidth="10.77734375" defaultRowHeight="14.4" x14ac:dyDescent="0.3"/>
  <cols>
    <col min="2" max="2" width="6.21875" customWidth="1"/>
    <col min="3" max="3" width="12.21875" bestFit="1" customWidth="1"/>
    <col min="6" max="6" width="6.21875" customWidth="1"/>
    <col min="7" max="7" width="17.5546875" customWidth="1"/>
  </cols>
  <sheetData>
    <row r="2" spans="2:7" ht="18" x14ac:dyDescent="0.35">
      <c r="B2" s="15" t="s">
        <v>19</v>
      </c>
      <c r="C2" s="15"/>
      <c r="D2" s="15"/>
      <c r="F2" s="16" t="s">
        <v>20</v>
      </c>
      <c r="G2" s="17"/>
    </row>
    <row r="3" spans="2:7" x14ac:dyDescent="0.3">
      <c r="B3" s="18" t="s">
        <v>21</v>
      </c>
      <c r="C3" s="18" t="s">
        <v>22</v>
      </c>
      <c r="D3" s="18" t="s">
        <v>23</v>
      </c>
      <c r="F3" s="19" t="s">
        <v>21</v>
      </c>
      <c r="G3" s="19" t="s">
        <v>22</v>
      </c>
    </row>
    <row r="4" spans="2:7" x14ac:dyDescent="0.3">
      <c r="B4" s="20">
        <v>0</v>
      </c>
      <c r="C4" s="21" t="s">
        <v>24</v>
      </c>
      <c r="D4" s="22">
        <v>0</v>
      </c>
      <c r="F4" s="23">
        <v>1</v>
      </c>
      <c r="G4" s="24" t="s">
        <v>25</v>
      </c>
    </row>
    <row r="5" spans="2:7" x14ac:dyDescent="0.3">
      <c r="B5" s="20">
        <v>1</v>
      </c>
      <c r="C5" s="21" t="s">
        <v>26</v>
      </c>
      <c r="D5" s="20" t="s">
        <v>27</v>
      </c>
      <c r="F5" s="23">
        <v>2</v>
      </c>
      <c r="G5" s="24" t="s">
        <v>28</v>
      </c>
    </row>
    <row r="6" spans="2:7" x14ac:dyDescent="0.3">
      <c r="B6" s="20">
        <v>2</v>
      </c>
      <c r="C6" s="21" t="s">
        <v>29</v>
      </c>
      <c r="D6" s="20" t="s">
        <v>30</v>
      </c>
      <c r="F6" s="23">
        <v>3</v>
      </c>
      <c r="G6" s="24" t="s">
        <v>31</v>
      </c>
    </row>
    <row r="7" spans="2:7" x14ac:dyDescent="0.3">
      <c r="B7" s="20">
        <v>3</v>
      </c>
      <c r="C7" s="21" t="s">
        <v>32</v>
      </c>
      <c r="D7" s="20" t="s">
        <v>33</v>
      </c>
      <c r="F7" s="23">
        <v>4</v>
      </c>
      <c r="G7" s="24" t="s">
        <v>34</v>
      </c>
    </row>
    <row r="8" spans="2:7" x14ac:dyDescent="0.3">
      <c r="B8" s="20">
        <v>4</v>
      </c>
      <c r="C8" s="21" t="s">
        <v>35</v>
      </c>
      <c r="D8" s="20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4"/>
  <sheetViews>
    <sheetView workbookViewId="0">
      <selection activeCell="F37" sqref="F37"/>
    </sheetView>
  </sheetViews>
  <sheetFormatPr defaultRowHeight="14.4" x14ac:dyDescent="0.3"/>
  <cols>
    <col min="1" max="1" width="16.21875" bestFit="1" customWidth="1"/>
    <col min="6" max="6" width="14.21875" bestFit="1" customWidth="1"/>
    <col min="8" max="8" width="17.77734375" bestFit="1" customWidth="1"/>
    <col min="10" max="10" width="15.44140625" bestFit="1" customWidth="1"/>
  </cols>
  <sheetData>
    <row r="1" spans="1:14" ht="28.8" x14ac:dyDescent="0.3">
      <c r="A1" s="3" t="s">
        <v>2</v>
      </c>
      <c r="B1" s="3" t="s">
        <v>11</v>
      </c>
      <c r="C1" s="3" t="s">
        <v>3</v>
      </c>
      <c r="D1" s="31" t="s">
        <v>4</v>
      </c>
      <c r="E1" s="31" t="s">
        <v>5</v>
      </c>
      <c r="F1" s="7" t="s">
        <v>17</v>
      </c>
    </row>
    <row r="2" spans="1:14" x14ac:dyDescent="0.3">
      <c r="A2" t="s">
        <v>38</v>
      </c>
      <c r="B2" t="s">
        <v>15</v>
      </c>
      <c r="C2" s="9">
        <v>41456</v>
      </c>
      <c r="D2" s="12">
        <v>1.571</v>
      </c>
      <c r="E2" s="12">
        <v>1.8859999999999999</v>
      </c>
      <c r="F2" s="1" t="s">
        <v>1</v>
      </c>
      <c r="H2" s="47" t="s">
        <v>82</v>
      </c>
      <c r="L2" t="s">
        <v>61</v>
      </c>
      <c r="N2" t="s">
        <v>1</v>
      </c>
    </row>
    <row r="3" spans="1:14" x14ac:dyDescent="0.3">
      <c r="A3" t="s">
        <v>39</v>
      </c>
      <c r="B3" t="s">
        <v>15</v>
      </c>
      <c r="C3" s="9">
        <v>41456</v>
      </c>
      <c r="D3" s="12">
        <v>0.45200000000000001</v>
      </c>
      <c r="E3" s="12">
        <v>0.48499999999999999</v>
      </c>
      <c r="F3" s="1" t="s">
        <v>1</v>
      </c>
      <c r="H3" s="37" t="s">
        <v>58</v>
      </c>
      <c r="J3" s="39" t="s">
        <v>56</v>
      </c>
      <c r="L3" s="48" t="s">
        <v>57</v>
      </c>
      <c r="N3" s="53" t="s">
        <v>64</v>
      </c>
    </row>
    <row r="4" spans="1:14" ht="15" thickBot="1" x14ac:dyDescent="0.35">
      <c r="A4" t="s">
        <v>57</v>
      </c>
      <c r="B4" t="s">
        <v>55</v>
      </c>
      <c r="C4" s="9">
        <v>41457</v>
      </c>
      <c r="D4" s="12">
        <v>0.246</v>
      </c>
      <c r="E4" s="12">
        <v>0.27900000000000003</v>
      </c>
      <c r="F4" s="1" t="s">
        <v>1</v>
      </c>
      <c r="H4" s="38" t="s">
        <v>1</v>
      </c>
      <c r="J4" s="38" t="s">
        <v>1</v>
      </c>
      <c r="L4" s="48" t="s">
        <v>38</v>
      </c>
      <c r="N4" s="53" t="s">
        <v>65</v>
      </c>
    </row>
    <row r="5" spans="1:14" x14ac:dyDescent="0.3">
      <c r="A5" t="s">
        <v>58</v>
      </c>
      <c r="B5" t="s">
        <v>15</v>
      </c>
      <c r="C5" s="9">
        <v>41458</v>
      </c>
      <c r="D5" s="12">
        <v>0.84699999999999998</v>
      </c>
      <c r="E5" s="12">
        <v>1.085</v>
      </c>
      <c r="F5" s="1" t="s">
        <v>61</v>
      </c>
      <c r="H5" s="38" t="s">
        <v>61</v>
      </c>
      <c r="J5" s="49" t="s">
        <v>58</v>
      </c>
      <c r="L5" s="52" t="s">
        <v>53</v>
      </c>
      <c r="N5" s="52" t="s">
        <v>53</v>
      </c>
    </row>
    <row r="6" spans="1:14" x14ac:dyDescent="0.3">
      <c r="A6" t="s">
        <v>59</v>
      </c>
      <c r="B6" t="s">
        <v>15</v>
      </c>
      <c r="C6" s="9">
        <v>41458</v>
      </c>
      <c r="D6" s="12">
        <v>0.93200000000000005</v>
      </c>
      <c r="E6" s="12">
        <v>1.1339999999999999</v>
      </c>
      <c r="F6" s="1" t="s">
        <v>61</v>
      </c>
      <c r="H6" s="37" t="s">
        <v>68</v>
      </c>
      <c r="J6" s="50" t="s">
        <v>1</v>
      </c>
      <c r="L6" s="55" t="s">
        <v>37</v>
      </c>
      <c r="N6" s="52" t="s">
        <v>85</v>
      </c>
    </row>
    <row r="7" spans="1:14" ht="15" thickBot="1" x14ac:dyDescent="0.35">
      <c r="A7" s="32" t="s">
        <v>64</v>
      </c>
      <c r="B7" s="32" t="s">
        <v>15</v>
      </c>
      <c r="C7" s="33">
        <v>41459</v>
      </c>
      <c r="D7" s="34">
        <v>1.36</v>
      </c>
      <c r="E7" s="34">
        <v>1.3759999999999999</v>
      </c>
      <c r="F7" s="35" t="s">
        <v>61</v>
      </c>
      <c r="H7" s="38" t="s">
        <v>1</v>
      </c>
      <c r="J7" s="51" t="s">
        <v>61</v>
      </c>
      <c r="L7" s="54" t="s">
        <v>66</v>
      </c>
      <c r="N7" s="56" t="s">
        <v>88</v>
      </c>
    </row>
    <row r="8" spans="1:14" x14ac:dyDescent="0.3">
      <c r="A8" s="32" t="s">
        <v>65</v>
      </c>
      <c r="B8" s="32" t="s">
        <v>15</v>
      </c>
      <c r="C8" s="33">
        <v>41459</v>
      </c>
      <c r="D8" s="34">
        <v>1.0089999999999999</v>
      </c>
      <c r="E8" s="34">
        <v>0.98599999999999999</v>
      </c>
      <c r="F8" s="35" t="s">
        <v>61</v>
      </c>
      <c r="H8" s="38" t="s">
        <v>61</v>
      </c>
      <c r="J8" s="49" t="s">
        <v>68</v>
      </c>
      <c r="L8" s="56" t="s">
        <v>56</v>
      </c>
    </row>
    <row r="9" spans="1:14" x14ac:dyDescent="0.3">
      <c r="A9" s="32" t="s">
        <v>58</v>
      </c>
      <c r="B9" s="32" t="s">
        <v>15</v>
      </c>
      <c r="C9" s="33">
        <v>41460</v>
      </c>
      <c r="D9" s="34">
        <v>1</v>
      </c>
      <c r="E9" s="34">
        <v>1.206</v>
      </c>
      <c r="F9" s="35" t="s">
        <v>1</v>
      </c>
      <c r="H9" s="37" t="s">
        <v>71</v>
      </c>
      <c r="J9" s="50" t="s">
        <v>1</v>
      </c>
    </row>
    <row r="10" spans="1:14" ht="15" thickBot="1" x14ac:dyDescent="0.35">
      <c r="A10" s="32" t="s">
        <v>68</v>
      </c>
      <c r="B10" s="32" t="s">
        <v>15</v>
      </c>
      <c r="C10" s="33">
        <v>41460</v>
      </c>
      <c r="D10" s="34">
        <v>0.70799999999999996</v>
      </c>
      <c r="E10" s="34">
        <v>0.92</v>
      </c>
      <c r="F10" s="35" t="s">
        <v>1</v>
      </c>
      <c r="H10" s="38" t="s">
        <v>1</v>
      </c>
      <c r="J10" s="51" t="s">
        <v>61</v>
      </c>
    </row>
    <row r="11" spans="1:14" x14ac:dyDescent="0.3">
      <c r="A11" s="32" t="s">
        <v>59</v>
      </c>
      <c r="B11" s="32" t="s">
        <v>15</v>
      </c>
      <c r="C11" s="33">
        <v>41460</v>
      </c>
      <c r="D11" s="34">
        <v>1.038</v>
      </c>
      <c r="E11" s="34">
        <v>1.2849999999999999</v>
      </c>
      <c r="F11" s="35" t="s">
        <v>1</v>
      </c>
      <c r="H11" s="38" t="s">
        <v>61</v>
      </c>
      <c r="J11" s="49" t="s">
        <v>71</v>
      </c>
    </row>
    <row r="12" spans="1:14" x14ac:dyDescent="0.3">
      <c r="A12" t="s">
        <v>71</v>
      </c>
      <c r="B12" t="s">
        <v>55</v>
      </c>
      <c r="C12" s="9">
        <v>41461</v>
      </c>
      <c r="D12" s="12">
        <v>0.32500000000000001</v>
      </c>
      <c r="E12" s="12">
        <v>0.38500000000000001</v>
      </c>
      <c r="F12" s="1" t="s">
        <v>1</v>
      </c>
      <c r="H12" s="37" t="s">
        <v>59</v>
      </c>
      <c r="J12" s="50" t="s">
        <v>1</v>
      </c>
    </row>
    <row r="13" spans="1:14" ht="15" thickBot="1" x14ac:dyDescent="0.35">
      <c r="A13" t="s">
        <v>86</v>
      </c>
      <c r="B13" t="s">
        <v>55</v>
      </c>
      <c r="C13" s="9">
        <v>41461</v>
      </c>
      <c r="D13" s="12">
        <v>0.22500000000000001</v>
      </c>
      <c r="E13" s="12">
        <v>0.22600000000000001</v>
      </c>
      <c r="F13" s="1" t="s">
        <v>1</v>
      </c>
      <c r="H13" s="38" t="s">
        <v>1</v>
      </c>
      <c r="J13" s="51" t="s">
        <v>61</v>
      </c>
    </row>
    <row r="14" spans="1:14" x14ac:dyDescent="0.3">
      <c r="A14" t="s">
        <v>72</v>
      </c>
      <c r="B14" t="s">
        <v>55</v>
      </c>
      <c r="C14" s="9">
        <v>41461</v>
      </c>
      <c r="D14" s="12">
        <v>0.23899999999999999</v>
      </c>
      <c r="E14" s="12">
        <v>0.28399999999999997</v>
      </c>
      <c r="F14" s="1" t="s">
        <v>1</v>
      </c>
      <c r="H14" s="38" t="s">
        <v>61</v>
      </c>
      <c r="J14" s="49" t="s">
        <v>59</v>
      </c>
    </row>
    <row r="15" spans="1:14" x14ac:dyDescent="0.3">
      <c r="A15" t="s">
        <v>73</v>
      </c>
      <c r="B15" t="s">
        <v>15</v>
      </c>
      <c r="C15" s="9">
        <v>41461</v>
      </c>
      <c r="D15" s="12">
        <v>1.863</v>
      </c>
      <c r="E15" s="12">
        <v>1.895</v>
      </c>
      <c r="F15" s="1" t="s">
        <v>1</v>
      </c>
      <c r="H15" s="37" t="s">
        <v>57</v>
      </c>
      <c r="J15" s="50" t="s">
        <v>1</v>
      </c>
    </row>
    <row r="16" spans="1:14" ht="15" thickBot="1" x14ac:dyDescent="0.35">
      <c r="A16" t="s">
        <v>68</v>
      </c>
      <c r="B16" t="s">
        <v>15</v>
      </c>
      <c r="C16" s="9">
        <v>41462</v>
      </c>
      <c r="D16" s="12">
        <v>0.86099999999999999</v>
      </c>
      <c r="E16" s="12">
        <v>1.0109999999999999</v>
      </c>
      <c r="F16" s="1" t="s">
        <v>61</v>
      </c>
      <c r="H16" s="38" t="s">
        <v>1</v>
      </c>
      <c r="J16" s="51" t="s">
        <v>61</v>
      </c>
    </row>
    <row r="17" spans="1:10" x14ac:dyDescent="0.3">
      <c r="A17" t="s">
        <v>58</v>
      </c>
      <c r="B17" t="s">
        <v>15</v>
      </c>
      <c r="C17" s="9">
        <v>41462</v>
      </c>
      <c r="D17" s="12">
        <v>1.115</v>
      </c>
      <c r="E17" s="12">
        <v>1.2849999999999999</v>
      </c>
      <c r="F17" s="1" t="s">
        <v>61</v>
      </c>
      <c r="H17" s="37" t="s">
        <v>86</v>
      </c>
      <c r="J17" s="39" t="s">
        <v>57</v>
      </c>
    </row>
    <row r="18" spans="1:10" ht="15" thickBot="1" x14ac:dyDescent="0.35">
      <c r="A18" t="s">
        <v>59</v>
      </c>
      <c r="B18" t="s">
        <v>15</v>
      </c>
      <c r="C18" s="9">
        <v>41462</v>
      </c>
      <c r="D18" s="12">
        <v>1.1399999999999999</v>
      </c>
      <c r="E18" s="12">
        <v>1.2989999999999999</v>
      </c>
      <c r="F18" s="1" t="s">
        <v>61</v>
      </c>
      <c r="H18" s="38" t="s">
        <v>1</v>
      </c>
      <c r="J18" s="38" t="s">
        <v>1</v>
      </c>
    </row>
    <row r="19" spans="1:10" x14ac:dyDescent="0.3">
      <c r="A19" t="s">
        <v>71</v>
      </c>
      <c r="B19" t="s">
        <v>55</v>
      </c>
      <c r="C19" s="9">
        <v>41463</v>
      </c>
      <c r="D19" s="12">
        <v>0.35699999999999998</v>
      </c>
      <c r="E19" s="12">
        <v>0.42699999999999999</v>
      </c>
      <c r="F19" s="1" t="s">
        <v>61</v>
      </c>
      <c r="H19" s="38" t="s">
        <v>61</v>
      </c>
      <c r="J19" s="49" t="s">
        <v>86</v>
      </c>
    </row>
    <row r="20" spans="1:10" x14ac:dyDescent="0.3">
      <c r="A20" t="s">
        <v>86</v>
      </c>
      <c r="B20" t="s">
        <v>55</v>
      </c>
      <c r="C20" s="9">
        <v>41463</v>
      </c>
      <c r="D20" s="12">
        <v>0.21299999999999999</v>
      </c>
      <c r="E20" s="12">
        <v>0.215</v>
      </c>
      <c r="F20" s="1" t="s">
        <v>61</v>
      </c>
      <c r="H20" s="37" t="s">
        <v>72</v>
      </c>
      <c r="J20" s="50" t="s">
        <v>1</v>
      </c>
    </row>
    <row r="21" spans="1:10" ht="15" thickBot="1" x14ac:dyDescent="0.35">
      <c r="A21" t="s">
        <v>72</v>
      </c>
      <c r="B21" t="s">
        <v>55</v>
      </c>
      <c r="C21" s="9">
        <v>41463</v>
      </c>
      <c r="D21" s="12">
        <v>0.26400000000000001</v>
      </c>
      <c r="E21" s="12">
        <v>0.26900000000000002</v>
      </c>
      <c r="F21" s="1" t="s">
        <v>61</v>
      </c>
      <c r="H21" s="38" t="s">
        <v>1</v>
      </c>
      <c r="J21" s="51" t="s">
        <v>61</v>
      </c>
    </row>
    <row r="22" spans="1:10" x14ac:dyDescent="0.3">
      <c r="A22" t="s">
        <v>73</v>
      </c>
      <c r="B22" t="s">
        <v>15</v>
      </c>
      <c r="C22" s="9">
        <v>41463</v>
      </c>
      <c r="D22" s="12">
        <v>1.8680000000000001</v>
      </c>
      <c r="E22" s="12">
        <v>1.9059999999999999</v>
      </c>
      <c r="F22" s="1" t="s">
        <v>61</v>
      </c>
      <c r="H22" s="38" t="s">
        <v>61</v>
      </c>
      <c r="J22" s="49" t="s">
        <v>72</v>
      </c>
    </row>
    <row r="23" spans="1:10" x14ac:dyDescent="0.3">
      <c r="A23" t="s">
        <v>87</v>
      </c>
      <c r="B23" t="s">
        <v>15</v>
      </c>
      <c r="C23" s="9">
        <v>41464</v>
      </c>
      <c r="D23" s="12">
        <v>0.96799999999999997</v>
      </c>
      <c r="E23" s="12">
        <v>1.0580000000000001</v>
      </c>
      <c r="F23" s="1" t="s">
        <v>1</v>
      </c>
      <c r="H23" s="37" t="s">
        <v>38</v>
      </c>
      <c r="J23" s="50" t="s">
        <v>1</v>
      </c>
    </row>
    <row r="24" spans="1:10" ht="15" thickBot="1" x14ac:dyDescent="0.35">
      <c r="A24" s="32" t="s">
        <v>39</v>
      </c>
      <c r="B24" s="32" t="s">
        <v>15</v>
      </c>
      <c r="C24" s="9">
        <v>41465</v>
      </c>
      <c r="D24" s="34">
        <v>0.50800000000000001</v>
      </c>
      <c r="E24" s="34">
        <v>0.66200000000000003</v>
      </c>
      <c r="F24" s="1" t="s">
        <v>61</v>
      </c>
      <c r="H24" s="38" t="s">
        <v>1</v>
      </c>
      <c r="J24" s="51" t="s">
        <v>61</v>
      </c>
    </row>
    <row r="25" spans="1:10" x14ac:dyDescent="0.3">
      <c r="A25" s="32" t="s">
        <v>87</v>
      </c>
      <c r="B25" s="32" t="s">
        <v>15</v>
      </c>
      <c r="C25" s="33">
        <v>41467</v>
      </c>
      <c r="D25" s="34">
        <v>1.012</v>
      </c>
      <c r="E25" s="34">
        <v>1.145</v>
      </c>
      <c r="F25" s="35" t="s">
        <v>61</v>
      </c>
      <c r="H25" s="37" t="s">
        <v>39</v>
      </c>
      <c r="J25" s="39" t="s">
        <v>38</v>
      </c>
    </row>
    <row r="26" spans="1:10" ht="15" thickBot="1" x14ac:dyDescent="0.35">
      <c r="A26" s="32" t="s">
        <v>88</v>
      </c>
      <c r="B26" s="32" t="s">
        <v>15</v>
      </c>
      <c r="C26" s="33">
        <v>41467</v>
      </c>
      <c r="D26" s="34">
        <v>1.4339999999999999</v>
      </c>
      <c r="E26" s="34">
        <v>1.4239999999999999</v>
      </c>
      <c r="F26" s="35" t="s">
        <v>61</v>
      </c>
      <c r="H26" s="38" t="s">
        <v>1</v>
      </c>
      <c r="J26" s="38" t="s">
        <v>1</v>
      </c>
    </row>
    <row r="27" spans="1:10" x14ac:dyDescent="0.3">
      <c r="A27" s="32" t="s">
        <v>56</v>
      </c>
      <c r="B27" s="32" t="s">
        <v>15</v>
      </c>
      <c r="C27" s="33">
        <v>41470</v>
      </c>
      <c r="D27" s="12">
        <v>0.33100000000000002</v>
      </c>
      <c r="E27" s="12">
        <v>0.438</v>
      </c>
      <c r="F27" s="1" t="s">
        <v>1</v>
      </c>
      <c r="H27" s="38" t="s">
        <v>61</v>
      </c>
      <c r="J27" s="49" t="s">
        <v>39</v>
      </c>
    </row>
    <row r="28" spans="1:10" x14ac:dyDescent="0.3">
      <c r="H28" s="37" t="s">
        <v>64</v>
      </c>
      <c r="J28" s="50" t="s">
        <v>1</v>
      </c>
    </row>
    <row r="29" spans="1:10" ht="15" thickBot="1" x14ac:dyDescent="0.35">
      <c r="H29" s="38" t="s">
        <v>61</v>
      </c>
      <c r="J29" s="51" t="s">
        <v>61</v>
      </c>
    </row>
    <row r="30" spans="1:10" x14ac:dyDescent="0.3">
      <c r="H30" s="37" t="s">
        <v>65</v>
      </c>
      <c r="J30" s="39" t="s">
        <v>64</v>
      </c>
    </row>
    <row r="31" spans="1:10" x14ac:dyDescent="0.3">
      <c r="H31" s="38" t="s">
        <v>61</v>
      </c>
      <c r="J31" s="38" t="s">
        <v>61</v>
      </c>
    </row>
    <row r="32" spans="1:10" x14ac:dyDescent="0.3">
      <c r="H32" s="37" t="s">
        <v>73</v>
      </c>
      <c r="J32" s="39" t="s">
        <v>65</v>
      </c>
    </row>
    <row r="33" spans="8:10" ht="15" thickBot="1" x14ac:dyDescent="0.35">
      <c r="H33" s="38" t="s">
        <v>1</v>
      </c>
      <c r="J33" s="38" t="s">
        <v>61</v>
      </c>
    </row>
    <row r="34" spans="8:10" x14ac:dyDescent="0.3">
      <c r="H34" s="38" t="s">
        <v>61</v>
      </c>
      <c r="J34" s="49" t="s">
        <v>73</v>
      </c>
    </row>
    <row r="35" spans="8:10" x14ac:dyDescent="0.3">
      <c r="H35" s="37" t="s">
        <v>83</v>
      </c>
      <c r="J35" s="50" t="s">
        <v>1</v>
      </c>
    </row>
    <row r="36" spans="8:10" ht="15" thickBot="1" x14ac:dyDescent="0.35">
      <c r="H36" s="38" t="s">
        <v>83</v>
      </c>
      <c r="J36" s="51" t="s">
        <v>61</v>
      </c>
    </row>
    <row r="37" spans="8:10" x14ac:dyDescent="0.3">
      <c r="H37" s="37" t="s">
        <v>87</v>
      </c>
      <c r="J37" s="49" t="s">
        <v>87</v>
      </c>
    </row>
    <row r="38" spans="8:10" x14ac:dyDescent="0.3">
      <c r="H38" s="38" t="s">
        <v>1</v>
      </c>
      <c r="J38" s="50" t="s">
        <v>1</v>
      </c>
    </row>
    <row r="39" spans="8:10" ht="15" thickBot="1" x14ac:dyDescent="0.35">
      <c r="H39" s="38" t="s">
        <v>61</v>
      </c>
      <c r="J39" s="51" t="s">
        <v>61</v>
      </c>
    </row>
    <row r="40" spans="8:10" x14ac:dyDescent="0.3">
      <c r="H40" s="37" t="s">
        <v>88</v>
      </c>
      <c r="J40" s="39" t="s">
        <v>88</v>
      </c>
    </row>
    <row r="41" spans="8:10" x14ac:dyDescent="0.3">
      <c r="H41" s="38" t="s">
        <v>61</v>
      </c>
      <c r="J41" s="38" t="s">
        <v>61</v>
      </c>
    </row>
    <row r="42" spans="8:10" x14ac:dyDescent="0.3">
      <c r="H42" s="37" t="s">
        <v>56</v>
      </c>
    </row>
    <row r="43" spans="8:10" x14ac:dyDescent="0.3">
      <c r="H43" s="38" t="s">
        <v>1</v>
      </c>
    </row>
    <row r="44" spans="8:10" x14ac:dyDescent="0.3">
      <c r="H44" s="37" t="s">
        <v>84</v>
      </c>
    </row>
  </sheetData>
  <pageMargins left="0.7" right="0.7" top="0.75" bottom="0.75" header="0.3" footer="0.3"/>
  <pageSetup orientation="portrait"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3"/>
  <sheetViews>
    <sheetView tabSelected="1" topLeftCell="A33" zoomScale="80" zoomScaleNormal="80" workbookViewId="0">
      <selection activeCell="G45" sqref="G45"/>
    </sheetView>
  </sheetViews>
  <sheetFormatPr defaultRowHeight="14.4" x14ac:dyDescent="0.3"/>
  <cols>
    <col min="1" max="1" width="17" customWidth="1"/>
    <col min="4" max="4" width="13.21875" style="1" bestFit="1" customWidth="1"/>
    <col min="5" max="5" width="7.88671875" style="1" bestFit="1" customWidth="1"/>
    <col min="6" max="11" width="8.77734375" style="1"/>
    <col min="12" max="12" width="9.21875" style="1" bestFit="1" customWidth="1"/>
  </cols>
  <sheetData>
    <row r="1" spans="1:14" ht="18.45" customHeight="1" x14ac:dyDescent="0.3">
      <c r="A1" s="3" t="s">
        <v>104</v>
      </c>
      <c r="B1" s="3" t="s">
        <v>11</v>
      </c>
      <c r="C1" s="3" t="s">
        <v>3</v>
      </c>
      <c r="D1" s="7" t="s">
        <v>17</v>
      </c>
      <c r="E1" s="7" t="s">
        <v>6</v>
      </c>
      <c r="F1" s="7" t="s">
        <v>42</v>
      </c>
      <c r="G1" s="7" t="s">
        <v>18</v>
      </c>
      <c r="H1" s="7" t="s">
        <v>106</v>
      </c>
      <c r="I1" s="7" t="s">
        <v>105</v>
      </c>
      <c r="J1" s="7" t="s">
        <v>107</v>
      </c>
      <c r="K1" s="7" t="s">
        <v>108</v>
      </c>
      <c r="L1" s="7" t="s">
        <v>9</v>
      </c>
      <c r="M1" s="7" t="s">
        <v>109</v>
      </c>
      <c r="N1" s="7" t="s">
        <v>110</v>
      </c>
    </row>
    <row r="2" spans="1:14" x14ac:dyDescent="0.3">
      <c r="A2" s="32" t="s">
        <v>95</v>
      </c>
      <c r="B2" s="32" t="s">
        <v>55</v>
      </c>
      <c r="C2" s="33">
        <v>41472</v>
      </c>
      <c r="D2" s="35" t="s">
        <v>61</v>
      </c>
      <c r="E2" s="35">
        <v>1</v>
      </c>
      <c r="F2" s="35" t="s">
        <v>47</v>
      </c>
      <c r="G2" s="35" t="s">
        <v>44</v>
      </c>
      <c r="H2" s="35">
        <v>3</v>
      </c>
      <c r="I2" s="35">
        <v>0.254</v>
      </c>
      <c r="J2" s="35">
        <v>0</v>
      </c>
      <c r="K2" s="35">
        <v>0.129</v>
      </c>
      <c r="L2" s="35">
        <v>3</v>
      </c>
      <c r="M2">
        <f t="shared" ref="M2:M33" si="0">IF(D2="Salix arctica",I2*0.00543,I2*0.07233)</f>
        <v>1.8371820000000001E-2</v>
      </c>
      <c r="N2">
        <f t="shared" ref="N2:N33" si="1">I2-K2-M2</f>
        <v>0.10662818</v>
      </c>
    </row>
    <row r="3" spans="1:14" x14ac:dyDescent="0.3">
      <c r="A3" s="32" t="s">
        <v>95</v>
      </c>
      <c r="B3" s="32" t="s">
        <v>55</v>
      </c>
      <c r="C3" s="33">
        <v>41472</v>
      </c>
      <c r="D3" s="35" t="s">
        <v>61</v>
      </c>
      <c r="E3" s="35">
        <v>2</v>
      </c>
      <c r="F3" s="35" t="s">
        <v>46</v>
      </c>
      <c r="G3" s="35" t="s">
        <v>41</v>
      </c>
      <c r="H3" s="35">
        <v>2</v>
      </c>
      <c r="I3" s="35">
        <v>0.52800000000000002</v>
      </c>
      <c r="J3" s="35">
        <v>1</v>
      </c>
      <c r="K3" s="35">
        <v>0.39600000000000002</v>
      </c>
      <c r="L3" s="35">
        <v>1</v>
      </c>
      <c r="M3">
        <f t="shared" si="0"/>
        <v>3.8190240000000007E-2</v>
      </c>
      <c r="N3">
        <f t="shared" si="1"/>
        <v>9.3809759999999992E-2</v>
      </c>
    </row>
    <row r="4" spans="1:14" x14ac:dyDescent="0.3">
      <c r="A4" s="32" t="s">
        <v>95</v>
      </c>
      <c r="B4" s="32" t="s">
        <v>55</v>
      </c>
      <c r="C4" s="33">
        <v>41472</v>
      </c>
      <c r="D4" s="35" t="s">
        <v>61</v>
      </c>
      <c r="E4" s="35">
        <v>3</v>
      </c>
      <c r="F4" s="35" t="s">
        <v>48</v>
      </c>
      <c r="G4" s="35" t="s">
        <v>44</v>
      </c>
      <c r="H4" s="35">
        <v>3</v>
      </c>
      <c r="I4" s="35">
        <v>0.24199999999999999</v>
      </c>
      <c r="J4" s="35">
        <v>1</v>
      </c>
      <c r="K4" s="35">
        <v>0.17799999999999999</v>
      </c>
      <c r="L4" s="35">
        <v>3</v>
      </c>
      <c r="M4">
        <f t="shared" si="0"/>
        <v>1.750386E-2</v>
      </c>
      <c r="N4">
        <f t="shared" si="1"/>
        <v>4.6496140000000005E-2</v>
      </c>
    </row>
    <row r="5" spans="1:14" x14ac:dyDescent="0.3">
      <c r="A5" s="32" t="s">
        <v>95</v>
      </c>
      <c r="B5" s="32" t="s">
        <v>55</v>
      </c>
      <c r="C5" s="33">
        <v>41472</v>
      </c>
      <c r="D5" s="35" t="s">
        <v>61</v>
      </c>
      <c r="E5" s="35">
        <v>4</v>
      </c>
      <c r="F5" s="35" t="s">
        <v>49</v>
      </c>
      <c r="G5" s="35" t="s">
        <v>41</v>
      </c>
      <c r="H5" s="35">
        <v>2</v>
      </c>
      <c r="I5" s="35">
        <v>0.28499999999999998</v>
      </c>
      <c r="J5" s="35">
        <v>2</v>
      </c>
      <c r="K5" s="35">
        <v>0.24299999999999999</v>
      </c>
      <c r="L5" s="35">
        <v>1</v>
      </c>
      <c r="M5">
        <f t="shared" si="0"/>
        <v>2.0614049999999998E-2</v>
      </c>
      <c r="N5">
        <f t="shared" si="1"/>
        <v>2.1385949999999983E-2</v>
      </c>
    </row>
    <row r="6" spans="1:14" x14ac:dyDescent="0.3">
      <c r="A6" s="32" t="s">
        <v>56</v>
      </c>
      <c r="B6" s="32" t="s">
        <v>15</v>
      </c>
      <c r="C6" s="33">
        <v>41470</v>
      </c>
      <c r="D6" s="1" t="s">
        <v>1</v>
      </c>
      <c r="E6" s="35">
        <v>1</v>
      </c>
      <c r="F6" s="1" t="s">
        <v>47</v>
      </c>
      <c r="G6" s="1" t="s">
        <v>44</v>
      </c>
      <c r="H6" s="1">
        <v>5</v>
      </c>
      <c r="I6" s="35">
        <v>0.435</v>
      </c>
      <c r="J6" s="35">
        <v>2</v>
      </c>
      <c r="K6" s="35">
        <v>0.42</v>
      </c>
      <c r="L6" s="35">
        <v>2</v>
      </c>
      <c r="M6">
        <f t="shared" si="0"/>
        <v>2.3620500000000001E-3</v>
      </c>
      <c r="N6">
        <f t="shared" si="1"/>
        <v>1.2637950000000012E-2</v>
      </c>
    </row>
    <row r="7" spans="1:14" x14ac:dyDescent="0.3">
      <c r="A7" s="32" t="s">
        <v>56</v>
      </c>
      <c r="B7" s="32" t="s">
        <v>15</v>
      </c>
      <c r="C7" s="33">
        <v>41470</v>
      </c>
      <c r="D7" s="1" t="s">
        <v>1</v>
      </c>
      <c r="E7" s="35">
        <v>2</v>
      </c>
      <c r="F7" s="1" t="s">
        <v>49</v>
      </c>
      <c r="G7" s="1" t="s">
        <v>41</v>
      </c>
      <c r="H7" s="1">
        <v>4</v>
      </c>
      <c r="I7" s="35">
        <v>0.215</v>
      </c>
      <c r="J7" s="35">
        <v>1</v>
      </c>
      <c r="K7" s="35">
        <v>0.19800000000000001</v>
      </c>
      <c r="L7" s="35">
        <v>1</v>
      </c>
      <c r="M7">
        <f t="shared" si="0"/>
        <v>1.16745E-3</v>
      </c>
      <c r="N7">
        <f t="shared" si="1"/>
        <v>1.5832549999999987E-2</v>
      </c>
    </row>
    <row r="8" spans="1:14" x14ac:dyDescent="0.3">
      <c r="A8" s="32" t="s">
        <v>56</v>
      </c>
      <c r="B8" s="32" t="s">
        <v>15</v>
      </c>
      <c r="C8" s="33">
        <v>41470</v>
      </c>
      <c r="D8" s="1" t="s">
        <v>1</v>
      </c>
      <c r="E8" s="35">
        <v>3</v>
      </c>
      <c r="F8" s="1" t="s">
        <v>48</v>
      </c>
      <c r="G8" s="1" t="s">
        <v>44</v>
      </c>
      <c r="H8" s="35">
        <v>4</v>
      </c>
      <c r="I8" s="35">
        <v>0.254</v>
      </c>
      <c r="J8" s="35">
        <v>1</v>
      </c>
      <c r="K8" s="35">
        <v>0.219</v>
      </c>
      <c r="L8" s="35">
        <v>3</v>
      </c>
      <c r="M8">
        <f t="shared" si="0"/>
        <v>1.37922E-3</v>
      </c>
      <c r="N8">
        <f t="shared" si="1"/>
        <v>3.3620780000000003E-2</v>
      </c>
    </row>
    <row r="9" spans="1:14" x14ac:dyDescent="0.3">
      <c r="A9" s="32" t="s">
        <v>56</v>
      </c>
      <c r="B9" s="32" t="s">
        <v>15</v>
      </c>
      <c r="C9" s="33">
        <v>41470</v>
      </c>
      <c r="D9" s="1" t="s">
        <v>1</v>
      </c>
      <c r="E9" s="35">
        <v>4</v>
      </c>
      <c r="F9" s="1" t="s">
        <v>46</v>
      </c>
      <c r="G9" s="35" t="s">
        <v>41</v>
      </c>
      <c r="H9" s="35">
        <v>5</v>
      </c>
      <c r="I9" s="1">
        <v>0.39500000000000002</v>
      </c>
      <c r="J9" s="35">
        <v>3</v>
      </c>
      <c r="K9" s="35">
        <v>0.30199999999999999</v>
      </c>
      <c r="L9" s="35">
        <v>2</v>
      </c>
      <c r="M9">
        <f t="shared" si="0"/>
        <v>2.1448500000000002E-3</v>
      </c>
      <c r="N9">
        <f t="shared" si="1"/>
        <v>9.0855150000000023E-2</v>
      </c>
    </row>
    <row r="10" spans="1:14" x14ac:dyDescent="0.3">
      <c r="A10" s="32" t="s">
        <v>56</v>
      </c>
      <c r="B10" s="32" t="s">
        <v>15</v>
      </c>
      <c r="C10" s="33">
        <v>41472</v>
      </c>
      <c r="D10" s="35" t="s">
        <v>61</v>
      </c>
      <c r="E10" s="35">
        <v>1</v>
      </c>
      <c r="F10" s="35" t="s">
        <v>48</v>
      </c>
      <c r="G10" s="35" t="s">
        <v>44</v>
      </c>
      <c r="H10" s="35">
        <v>3</v>
      </c>
      <c r="I10" s="35">
        <v>0.20699999999999999</v>
      </c>
      <c r="J10" s="35">
        <v>3</v>
      </c>
      <c r="K10" s="35">
        <v>0.21199999999999999</v>
      </c>
      <c r="L10" s="35">
        <v>0</v>
      </c>
      <c r="M10">
        <f t="shared" si="0"/>
        <v>1.4972310000000001E-2</v>
      </c>
      <c r="N10">
        <f t="shared" si="1"/>
        <v>-1.9972310000000007E-2</v>
      </c>
    </row>
    <row r="11" spans="1:14" x14ac:dyDescent="0.3">
      <c r="A11" s="32" t="s">
        <v>56</v>
      </c>
      <c r="B11" s="32" t="s">
        <v>15</v>
      </c>
      <c r="C11" s="33">
        <v>41472</v>
      </c>
      <c r="D11" s="35" t="s">
        <v>61</v>
      </c>
      <c r="E11" s="35">
        <v>2</v>
      </c>
      <c r="F11" s="35" t="s">
        <v>51</v>
      </c>
      <c r="G11" s="35" t="s">
        <v>44</v>
      </c>
      <c r="H11" s="35">
        <v>3</v>
      </c>
      <c r="I11" s="35">
        <v>0.24299999999999999</v>
      </c>
      <c r="J11" s="35">
        <v>3</v>
      </c>
      <c r="K11" s="35">
        <v>0.184</v>
      </c>
      <c r="L11" s="35">
        <v>0</v>
      </c>
      <c r="M11">
        <f t="shared" si="0"/>
        <v>1.7576190000000002E-2</v>
      </c>
      <c r="N11">
        <f t="shared" si="1"/>
        <v>4.1423809999999991E-2</v>
      </c>
    </row>
    <row r="12" spans="1:14" x14ac:dyDescent="0.3">
      <c r="A12" s="32" t="s">
        <v>56</v>
      </c>
      <c r="B12" s="32" t="s">
        <v>15</v>
      </c>
      <c r="C12" s="33">
        <v>41472</v>
      </c>
      <c r="D12" s="35" t="s">
        <v>61</v>
      </c>
      <c r="E12" s="35">
        <v>3</v>
      </c>
      <c r="F12" s="35" t="s">
        <v>50</v>
      </c>
      <c r="G12" s="35" t="s">
        <v>41</v>
      </c>
      <c r="H12" s="35">
        <v>4</v>
      </c>
      <c r="I12" s="35">
        <v>0.51200000000000001</v>
      </c>
      <c r="J12" s="35">
        <v>0</v>
      </c>
      <c r="K12" s="35">
        <v>0.27600000000000002</v>
      </c>
      <c r="L12" s="35">
        <v>3</v>
      </c>
      <c r="M12">
        <f t="shared" si="0"/>
        <v>3.7032960000000004E-2</v>
      </c>
      <c r="N12">
        <f t="shared" si="1"/>
        <v>0.19896703999999998</v>
      </c>
    </row>
    <row r="13" spans="1:14" x14ac:dyDescent="0.3">
      <c r="A13" s="32" t="s">
        <v>56</v>
      </c>
      <c r="B13" s="32" t="s">
        <v>15</v>
      </c>
      <c r="C13" s="33">
        <v>41472</v>
      </c>
      <c r="D13" s="35" t="s">
        <v>61</v>
      </c>
      <c r="E13" s="35">
        <v>4</v>
      </c>
      <c r="F13" s="35" t="s">
        <v>49</v>
      </c>
      <c r="G13" s="35" t="s">
        <v>41</v>
      </c>
      <c r="H13" s="35">
        <v>2</v>
      </c>
      <c r="I13" s="35">
        <v>0.28199999999999997</v>
      </c>
      <c r="J13" s="35">
        <v>2</v>
      </c>
      <c r="K13" s="35">
        <v>0.26200000000000001</v>
      </c>
      <c r="L13" s="35">
        <v>0</v>
      </c>
      <c r="M13">
        <f t="shared" si="0"/>
        <v>2.0397059999999998E-2</v>
      </c>
      <c r="N13">
        <f t="shared" si="1"/>
        <v>-3.9706000000003586E-4</v>
      </c>
    </row>
    <row r="14" spans="1:14" x14ac:dyDescent="0.3">
      <c r="A14" t="s">
        <v>58</v>
      </c>
      <c r="B14" t="s">
        <v>15</v>
      </c>
      <c r="C14" s="9">
        <v>41458</v>
      </c>
      <c r="D14" s="1" t="s">
        <v>61</v>
      </c>
      <c r="E14" s="1">
        <v>1</v>
      </c>
      <c r="F14" s="1" t="s">
        <v>48</v>
      </c>
      <c r="G14" s="1" t="s">
        <v>44</v>
      </c>
      <c r="H14" s="1">
        <v>5</v>
      </c>
      <c r="I14" s="1">
        <v>0.32600000000000001</v>
      </c>
      <c r="J14" s="1">
        <v>5</v>
      </c>
      <c r="K14" s="1">
        <v>0.32700000000000001</v>
      </c>
      <c r="L14" s="1">
        <v>0</v>
      </c>
      <c r="M14">
        <f t="shared" si="0"/>
        <v>2.3579580000000003E-2</v>
      </c>
      <c r="N14">
        <f t="shared" si="1"/>
        <v>-2.4579580000000004E-2</v>
      </c>
    </row>
    <row r="15" spans="1:14" x14ac:dyDescent="0.3">
      <c r="A15" t="s">
        <v>58</v>
      </c>
      <c r="B15" t="s">
        <v>15</v>
      </c>
      <c r="C15" s="9">
        <v>41458</v>
      </c>
      <c r="D15" s="1" t="s">
        <v>61</v>
      </c>
      <c r="E15" s="1">
        <v>2</v>
      </c>
      <c r="F15" s="1" t="s">
        <v>49</v>
      </c>
      <c r="G15" s="1" t="s">
        <v>41</v>
      </c>
      <c r="H15" s="1">
        <v>3</v>
      </c>
      <c r="I15" s="1">
        <v>0.26300000000000001</v>
      </c>
      <c r="J15" s="1">
        <v>1</v>
      </c>
      <c r="K15" s="1">
        <v>0.16</v>
      </c>
      <c r="L15" s="1">
        <v>2</v>
      </c>
      <c r="M15">
        <f t="shared" si="0"/>
        <v>1.9022790000000001E-2</v>
      </c>
      <c r="N15">
        <f t="shared" si="1"/>
        <v>8.397721000000001E-2</v>
      </c>
    </row>
    <row r="16" spans="1:14" x14ac:dyDescent="0.3">
      <c r="A16" t="s">
        <v>58</v>
      </c>
      <c r="B16" t="s">
        <v>15</v>
      </c>
      <c r="C16" s="9">
        <v>41458</v>
      </c>
      <c r="D16" s="1" t="s">
        <v>61</v>
      </c>
      <c r="E16" s="1">
        <v>3</v>
      </c>
      <c r="F16" s="1" t="s">
        <v>50</v>
      </c>
      <c r="G16" s="1" t="s">
        <v>41</v>
      </c>
      <c r="H16" s="1">
        <v>6</v>
      </c>
      <c r="I16" s="1">
        <v>0.29299999999999998</v>
      </c>
      <c r="J16" s="1">
        <v>6</v>
      </c>
      <c r="K16" s="1">
        <v>0.26600000000000001</v>
      </c>
      <c r="L16" s="1">
        <v>0</v>
      </c>
      <c r="M16">
        <f t="shared" si="0"/>
        <v>2.119269E-2</v>
      </c>
      <c r="N16">
        <f t="shared" si="1"/>
        <v>5.8073099999999683E-3</v>
      </c>
    </row>
    <row r="17" spans="1:14" x14ac:dyDescent="0.3">
      <c r="A17" t="s">
        <v>58</v>
      </c>
      <c r="B17" t="s">
        <v>15</v>
      </c>
      <c r="C17" s="9">
        <v>41458</v>
      </c>
      <c r="D17" s="1" t="s">
        <v>61</v>
      </c>
      <c r="E17" s="1">
        <v>4</v>
      </c>
      <c r="F17" s="1" t="s">
        <v>51</v>
      </c>
      <c r="G17" s="1" t="s">
        <v>44</v>
      </c>
      <c r="H17" s="1">
        <v>3</v>
      </c>
      <c r="I17" s="1">
        <v>0.27400000000000002</v>
      </c>
      <c r="J17" s="1">
        <v>0</v>
      </c>
      <c r="K17" s="1">
        <v>6.3E-2</v>
      </c>
      <c r="L17" s="1">
        <v>4</v>
      </c>
      <c r="M17">
        <f t="shared" si="0"/>
        <v>1.9818420000000003E-2</v>
      </c>
      <c r="N17">
        <f t="shared" si="1"/>
        <v>0.19118158000000002</v>
      </c>
    </row>
    <row r="18" spans="1:14" x14ac:dyDescent="0.3">
      <c r="A18" s="32" t="s">
        <v>58</v>
      </c>
      <c r="B18" s="32" t="s">
        <v>15</v>
      </c>
      <c r="C18" s="33">
        <v>41460</v>
      </c>
      <c r="D18" s="35" t="s">
        <v>1</v>
      </c>
      <c r="E18" s="35">
        <v>1</v>
      </c>
      <c r="F18" s="35" t="s">
        <v>78</v>
      </c>
      <c r="G18" s="35" t="s">
        <v>44</v>
      </c>
      <c r="H18" s="35">
        <v>3</v>
      </c>
      <c r="I18" s="35">
        <v>0.34899999999999998</v>
      </c>
      <c r="J18" s="35">
        <v>0</v>
      </c>
      <c r="K18" s="35">
        <v>0.27100000000000002</v>
      </c>
      <c r="L18" s="35">
        <v>3</v>
      </c>
      <c r="M18">
        <f t="shared" si="0"/>
        <v>1.8950699999999998E-3</v>
      </c>
      <c r="N18">
        <f t="shared" si="1"/>
        <v>7.610492999999996E-2</v>
      </c>
    </row>
    <row r="19" spans="1:14" x14ac:dyDescent="0.3">
      <c r="A19" s="32" t="s">
        <v>58</v>
      </c>
      <c r="B19" s="32" t="s">
        <v>15</v>
      </c>
      <c r="C19" s="33">
        <v>41460</v>
      </c>
      <c r="D19" s="35" t="s">
        <v>1</v>
      </c>
      <c r="E19" s="35">
        <v>2</v>
      </c>
      <c r="F19" s="35" t="s">
        <v>81</v>
      </c>
      <c r="G19" s="35" t="s">
        <v>44</v>
      </c>
      <c r="H19" s="35">
        <v>5</v>
      </c>
      <c r="I19" s="35">
        <v>0.26</v>
      </c>
      <c r="J19" s="35">
        <v>0</v>
      </c>
      <c r="K19" s="35">
        <v>0.13600000000000001</v>
      </c>
      <c r="L19" s="35">
        <v>3</v>
      </c>
      <c r="M19">
        <f t="shared" si="0"/>
        <v>1.4117999999999999E-3</v>
      </c>
      <c r="N19">
        <f t="shared" si="1"/>
        <v>0.12258819999999999</v>
      </c>
    </row>
    <row r="20" spans="1:14" x14ac:dyDescent="0.3">
      <c r="A20" s="32" t="s">
        <v>58</v>
      </c>
      <c r="B20" s="32" t="s">
        <v>15</v>
      </c>
      <c r="C20" s="33">
        <v>41460</v>
      </c>
      <c r="D20" s="35" t="s">
        <v>1</v>
      </c>
      <c r="E20" s="35">
        <v>3</v>
      </c>
      <c r="F20" s="35" t="s">
        <v>79</v>
      </c>
      <c r="G20" s="35" t="s">
        <v>41</v>
      </c>
      <c r="H20" s="35">
        <v>4</v>
      </c>
      <c r="I20" s="35">
        <v>0.189</v>
      </c>
      <c r="J20" s="35">
        <v>0</v>
      </c>
      <c r="K20" s="35">
        <v>6.4000000000000001E-2</v>
      </c>
      <c r="L20" s="35">
        <v>4</v>
      </c>
      <c r="M20">
        <f t="shared" si="0"/>
        <v>1.0262699999999999E-3</v>
      </c>
      <c r="N20">
        <f t="shared" si="1"/>
        <v>0.12397373</v>
      </c>
    </row>
    <row r="21" spans="1:14" x14ac:dyDescent="0.3">
      <c r="A21" s="32" t="s">
        <v>58</v>
      </c>
      <c r="B21" s="32" t="s">
        <v>15</v>
      </c>
      <c r="C21" s="33">
        <v>41460</v>
      </c>
      <c r="D21" s="35" t="s">
        <v>1</v>
      </c>
      <c r="E21" s="35">
        <v>4</v>
      </c>
      <c r="F21" s="35" t="s">
        <v>74</v>
      </c>
      <c r="G21" s="35" t="s">
        <v>41</v>
      </c>
      <c r="H21" s="35">
        <v>4</v>
      </c>
      <c r="I21" s="35">
        <v>0.161</v>
      </c>
      <c r="J21" s="35">
        <v>0</v>
      </c>
      <c r="K21" s="35">
        <v>0.115</v>
      </c>
      <c r="L21" s="35">
        <v>4</v>
      </c>
      <c r="M21">
        <f t="shared" si="0"/>
        <v>8.7423000000000004E-4</v>
      </c>
      <c r="N21">
        <f t="shared" si="1"/>
        <v>4.5125770000000003E-2</v>
      </c>
    </row>
    <row r="22" spans="1:14" x14ac:dyDescent="0.3">
      <c r="A22" t="s">
        <v>58</v>
      </c>
      <c r="B22" t="s">
        <v>15</v>
      </c>
      <c r="C22" s="9">
        <v>41462</v>
      </c>
      <c r="D22" s="1" t="s">
        <v>61</v>
      </c>
      <c r="E22" s="1">
        <v>1</v>
      </c>
      <c r="F22" s="1" t="s">
        <v>49</v>
      </c>
      <c r="G22" s="1" t="s">
        <v>41</v>
      </c>
      <c r="H22" s="1">
        <v>3</v>
      </c>
      <c r="I22" s="1">
        <v>0.247</v>
      </c>
      <c r="J22" s="35">
        <v>1</v>
      </c>
      <c r="K22" s="35">
        <v>0.159</v>
      </c>
      <c r="L22" s="35">
        <v>2</v>
      </c>
      <c r="M22">
        <f t="shared" si="0"/>
        <v>1.7865510000000001E-2</v>
      </c>
      <c r="N22">
        <f t="shared" si="1"/>
        <v>7.0134489999999994E-2</v>
      </c>
    </row>
    <row r="23" spans="1:14" x14ac:dyDescent="0.3">
      <c r="A23" t="s">
        <v>58</v>
      </c>
      <c r="B23" t="s">
        <v>15</v>
      </c>
      <c r="C23" s="9">
        <v>41462</v>
      </c>
      <c r="D23" s="1" t="s">
        <v>61</v>
      </c>
      <c r="E23" s="1">
        <v>2</v>
      </c>
      <c r="F23" s="1" t="s">
        <v>43</v>
      </c>
      <c r="G23" s="1" t="s">
        <v>41</v>
      </c>
      <c r="H23" s="1">
        <v>2</v>
      </c>
      <c r="I23" s="1">
        <v>0.16400000000000001</v>
      </c>
      <c r="J23" s="35">
        <v>0</v>
      </c>
      <c r="K23" s="35">
        <v>0.109</v>
      </c>
      <c r="L23" s="35">
        <v>3</v>
      </c>
      <c r="M23">
        <f t="shared" si="0"/>
        <v>1.1862120000000002E-2</v>
      </c>
      <c r="N23">
        <f t="shared" si="1"/>
        <v>4.3137880000000003E-2</v>
      </c>
    </row>
    <row r="24" spans="1:14" x14ac:dyDescent="0.3">
      <c r="A24" t="s">
        <v>58</v>
      </c>
      <c r="B24" t="s">
        <v>15</v>
      </c>
      <c r="C24" s="9">
        <v>41462</v>
      </c>
      <c r="D24" s="1" t="s">
        <v>61</v>
      </c>
      <c r="E24" s="1">
        <v>3</v>
      </c>
      <c r="F24" s="1" t="s">
        <v>45</v>
      </c>
      <c r="G24" s="1" t="s">
        <v>44</v>
      </c>
      <c r="H24" s="1">
        <v>3</v>
      </c>
      <c r="I24" s="1">
        <v>0.42799999999999999</v>
      </c>
      <c r="J24" s="35">
        <v>1</v>
      </c>
      <c r="K24" s="35">
        <v>0.35799999999999998</v>
      </c>
      <c r="L24" s="35">
        <v>2</v>
      </c>
      <c r="M24">
        <f t="shared" si="0"/>
        <v>3.095724E-2</v>
      </c>
      <c r="N24">
        <f t="shared" si="1"/>
        <v>3.904276000000001E-2</v>
      </c>
    </row>
    <row r="25" spans="1:14" x14ac:dyDescent="0.3">
      <c r="A25" t="s">
        <v>58</v>
      </c>
      <c r="B25" t="s">
        <v>15</v>
      </c>
      <c r="C25" s="9">
        <v>41462</v>
      </c>
      <c r="D25" s="1" t="s">
        <v>61</v>
      </c>
      <c r="E25" s="1">
        <v>4</v>
      </c>
      <c r="F25" s="1" t="s">
        <v>48</v>
      </c>
      <c r="G25" s="1" t="s">
        <v>44</v>
      </c>
      <c r="H25" s="1">
        <v>1</v>
      </c>
      <c r="I25" s="1">
        <v>0.159</v>
      </c>
      <c r="J25" s="1">
        <v>0</v>
      </c>
      <c r="K25" s="1">
        <v>4.5999999999999999E-2</v>
      </c>
      <c r="L25" s="1">
        <v>4</v>
      </c>
      <c r="M25">
        <f t="shared" si="0"/>
        <v>1.150047E-2</v>
      </c>
      <c r="N25">
        <f t="shared" si="1"/>
        <v>0.10149953</v>
      </c>
    </row>
    <row r="26" spans="1:14" x14ac:dyDescent="0.3">
      <c r="A26" s="32" t="s">
        <v>68</v>
      </c>
      <c r="B26" s="32" t="s">
        <v>15</v>
      </c>
      <c r="C26" s="33">
        <v>41460</v>
      </c>
      <c r="D26" s="35" t="s">
        <v>1</v>
      </c>
      <c r="E26" s="35">
        <v>1</v>
      </c>
      <c r="F26" s="35" t="s">
        <v>79</v>
      </c>
      <c r="G26" s="35" t="s">
        <v>41</v>
      </c>
      <c r="H26" s="35">
        <v>5</v>
      </c>
      <c r="I26" s="35">
        <v>0.219</v>
      </c>
      <c r="J26" s="35">
        <v>3</v>
      </c>
      <c r="K26" s="35">
        <v>0.19900000000000001</v>
      </c>
      <c r="L26" s="35">
        <v>1</v>
      </c>
      <c r="M26">
        <f t="shared" si="0"/>
        <v>1.18917E-3</v>
      </c>
      <c r="N26">
        <f t="shared" si="1"/>
        <v>1.881082999999999E-2</v>
      </c>
    </row>
    <row r="27" spans="1:14" x14ac:dyDescent="0.3">
      <c r="A27" s="32" t="s">
        <v>68</v>
      </c>
      <c r="B27" s="32" t="s">
        <v>15</v>
      </c>
      <c r="C27" s="33">
        <v>41460</v>
      </c>
      <c r="D27" s="35" t="s">
        <v>1</v>
      </c>
      <c r="E27" s="35">
        <v>2</v>
      </c>
      <c r="F27" s="35" t="s">
        <v>77</v>
      </c>
      <c r="G27" s="35" t="s">
        <v>41</v>
      </c>
      <c r="H27" s="35">
        <v>5</v>
      </c>
      <c r="I27" s="35">
        <v>0.26600000000000001</v>
      </c>
      <c r="J27" s="35">
        <v>3</v>
      </c>
      <c r="K27" s="35">
        <v>0.151</v>
      </c>
      <c r="L27" s="35">
        <v>2</v>
      </c>
      <c r="M27">
        <f t="shared" si="0"/>
        <v>1.4443800000000001E-3</v>
      </c>
      <c r="N27">
        <f t="shared" si="1"/>
        <v>0.11355562000000002</v>
      </c>
    </row>
    <row r="28" spans="1:14" x14ac:dyDescent="0.3">
      <c r="A28" s="32" t="s">
        <v>68</v>
      </c>
      <c r="B28" s="32" t="s">
        <v>15</v>
      </c>
      <c r="C28" s="33">
        <v>41460</v>
      </c>
      <c r="D28" s="35" t="s">
        <v>1</v>
      </c>
      <c r="E28" s="35">
        <v>3</v>
      </c>
      <c r="F28" s="35" t="s">
        <v>76</v>
      </c>
      <c r="G28" s="35" t="s">
        <v>44</v>
      </c>
      <c r="H28" s="35">
        <v>5</v>
      </c>
      <c r="I28" s="35">
        <v>0.29899999999999999</v>
      </c>
      <c r="J28" s="35">
        <v>3</v>
      </c>
      <c r="K28" s="35">
        <v>0.25800000000000001</v>
      </c>
      <c r="L28" s="35">
        <v>2</v>
      </c>
      <c r="M28">
        <f t="shared" si="0"/>
        <v>1.62357E-3</v>
      </c>
      <c r="N28">
        <f t="shared" si="1"/>
        <v>3.9376429999999983E-2</v>
      </c>
    </row>
    <row r="29" spans="1:14" x14ac:dyDescent="0.3">
      <c r="A29" s="32" t="s">
        <v>68</v>
      </c>
      <c r="B29" s="32" t="s">
        <v>15</v>
      </c>
      <c r="C29" s="33">
        <v>41460</v>
      </c>
      <c r="D29" s="35" t="s">
        <v>1</v>
      </c>
      <c r="E29" s="35">
        <v>4</v>
      </c>
      <c r="F29" s="35" t="s">
        <v>81</v>
      </c>
      <c r="G29" s="35" t="s">
        <v>44</v>
      </c>
      <c r="H29" s="35">
        <v>5</v>
      </c>
      <c r="I29" s="35">
        <v>0.26100000000000001</v>
      </c>
      <c r="J29" s="35">
        <v>0</v>
      </c>
      <c r="K29" s="35">
        <v>0.108</v>
      </c>
      <c r="L29" s="35">
        <v>4</v>
      </c>
      <c r="M29">
        <f t="shared" si="0"/>
        <v>1.41723E-3</v>
      </c>
      <c r="N29">
        <f t="shared" si="1"/>
        <v>0.15158277000000003</v>
      </c>
    </row>
    <row r="30" spans="1:14" x14ac:dyDescent="0.3">
      <c r="A30" t="s">
        <v>68</v>
      </c>
      <c r="B30" t="s">
        <v>15</v>
      </c>
      <c r="C30" s="9">
        <v>41462</v>
      </c>
      <c r="D30" s="1" t="s">
        <v>61</v>
      </c>
      <c r="E30" s="2">
        <v>1</v>
      </c>
      <c r="F30" s="1" t="s">
        <v>47</v>
      </c>
      <c r="G30" s="1" t="s">
        <v>44</v>
      </c>
      <c r="H30" s="1">
        <v>2</v>
      </c>
      <c r="I30" s="1">
        <v>0.34699999999999998</v>
      </c>
      <c r="J30" s="35">
        <v>0</v>
      </c>
      <c r="K30" s="35">
        <v>0.22</v>
      </c>
      <c r="L30" s="35">
        <v>3</v>
      </c>
      <c r="M30">
        <f t="shared" si="0"/>
        <v>2.5098510000000001E-2</v>
      </c>
      <c r="N30">
        <f t="shared" si="1"/>
        <v>0.10190148999999997</v>
      </c>
    </row>
    <row r="31" spans="1:14" x14ac:dyDescent="0.3">
      <c r="A31" t="s">
        <v>68</v>
      </c>
      <c r="B31" t="s">
        <v>15</v>
      </c>
      <c r="C31" s="9">
        <v>41462</v>
      </c>
      <c r="D31" s="1" t="s">
        <v>61</v>
      </c>
      <c r="E31" s="2">
        <v>2</v>
      </c>
      <c r="F31" s="1" t="s">
        <v>50</v>
      </c>
      <c r="G31" s="1" t="s">
        <v>41</v>
      </c>
      <c r="H31" s="1">
        <v>2</v>
      </c>
      <c r="I31" s="1">
        <v>0.20899999999999999</v>
      </c>
      <c r="J31" s="35">
        <v>1</v>
      </c>
      <c r="K31" s="35">
        <v>0.122</v>
      </c>
      <c r="L31" s="35">
        <v>2</v>
      </c>
      <c r="M31">
        <f t="shared" si="0"/>
        <v>1.511697E-2</v>
      </c>
      <c r="N31">
        <f t="shared" si="1"/>
        <v>7.1883029999999987E-2</v>
      </c>
    </row>
    <row r="32" spans="1:14" x14ac:dyDescent="0.3">
      <c r="A32" t="s">
        <v>68</v>
      </c>
      <c r="B32" t="s">
        <v>15</v>
      </c>
      <c r="C32" s="9">
        <v>41462</v>
      </c>
      <c r="D32" s="1" t="s">
        <v>61</v>
      </c>
      <c r="E32" s="2">
        <v>3</v>
      </c>
      <c r="F32" s="1" t="s">
        <v>51</v>
      </c>
      <c r="G32" s="1" t="s">
        <v>44</v>
      </c>
      <c r="H32" s="1">
        <v>3</v>
      </c>
      <c r="I32" s="1">
        <v>0.27900000000000003</v>
      </c>
      <c r="J32" s="35">
        <v>3</v>
      </c>
      <c r="K32" s="35">
        <v>0.28199999999999997</v>
      </c>
      <c r="L32" s="35">
        <v>0</v>
      </c>
      <c r="M32">
        <f t="shared" si="0"/>
        <v>2.0180070000000005E-2</v>
      </c>
      <c r="N32">
        <f t="shared" si="1"/>
        <v>-2.3180069999999952E-2</v>
      </c>
    </row>
    <row r="33" spans="1:14" x14ac:dyDescent="0.3">
      <c r="A33" t="s">
        <v>68</v>
      </c>
      <c r="B33" t="s">
        <v>15</v>
      </c>
      <c r="C33" s="9">
        <v>41462</v>
      </c>
      <c r="D33" s="1" t="s">
        <v>61</v>
      </c>
      <c r="E33" s="2">
        <v>4</v>
      </c>
      <c r="F33" s="1" t="s">
        <v>46</v>
      </c>
      <c r="G33" s="1" t="s">
        <v>41</v>
      </c>
      <c r="H33" s="1">
        <v>3</v>
      </c>
      <c r="I33" s="1">
        <v>0.29399999999999998</v>
      </c>
      <c r="J33" s="1">
        <v>3</v>
      </c>
      <c r="K33" s="1">
        <v>0.253</v>
      </c>
      <c r="L33" s="1">
        <v>0</v>
      </c>
      <c r="M33">
        <f t="shared" si="0"/>
        <v>2.1265019999999999E-2</v>
      </c>
      <c r="N33">
        <f t="shared" si="1"/>
        <v>1.9734979999999982E-2</v>
      </c>
    </row>
    <row r="34" spans="1:14" x14ac:dyDescent="0.3">
      <c r="A34" t="s">
        <v>71</v>
      </c>
      <c r="B34" t="s">
        <v>55</v>
      </c>
      <c r="C34" s="9">
        <v>41461</v>
      </c>
      <c r="D34" s="1" t="s">
        <v>1</v>
      </c>
      <c r="E34" s="2">
        <v>1</v>
      </c>
      <c r="F34" s="1" t="s">
        <v>74</v>
      </c>
      <c r="G34" s="1" t="s">
        <v>41</v>
      </c>
      <c r="H34" s="1">
        <v>1</v>
      </c>
      <c r="I34" s="1">
        <v>0.14799999999999999</v>
      </c>
      <c r="J34" s="35">
        <v>1</v>
      </c>
      <c r="K34" s="35">
        <v>0.13800000000000001</v>
      </c>
      <c r="L34" s="35">
        <v>0</v>
      </c>
      <c r="M34">
        <f t="shared" ref="M34:M65" si="2">IF(D34="Salix arctica",I34*0.00543,I34*0.07233)</f>
        <v>8.0364E-4</v>
      </c>
      <c r="N34">
        <f t="shared" ref="N34:N65" si="3">I34-K34-M34</f>
        <v>9.1963599999999816E-3</v>
      </c>
    </row>
    <row r="35" spans="1:14" x14ac:dyDescent="0.3">
      <c r="A35" t="s">
        <v>71</v>
      </c>
      <c r="B35" t="s">
        <v>55</v>
      </c>
      <c r="C35" s="9">
        <v>41461</v>
      </c>
      <c r="D35" s="1" t="s">
        <v>1</v>
      </c>
      <c r="E35" s="2">
        <v>2</v>
      </c>
      <c r="F35" s="1" t="s">
        <v>77</v>
      </c>
      <c r="G35" s="1" t="s">
        <v>41</v>
      </c>
      <c r="H35" s="1">
        <v>8</v>
      </c>
      <c r="I35" s="1">
        <v>0.25800000000000001</v>
      </c>
      <c r="J35" s="35">
        <v>8</v>
      </c>
      <c r="K35" s="35">
        <v>0.255</v>
      </c>
      <c r="L35" s="35">
        <v>0</v>
      </c>
      <c r="M35">
        <f t="shared" si="2"/>
        <v>1.40094E-3</v>
      </c>
      <c r="N35">
        <f t="shared" si="3"/>
        <v>1.5990600000000026E-3</v>
      </c>
    </row>
    <row r="36" spans="1:14" x14ac:dyDescent="0.3">
      <c r="A36" t="s">
        <v>71</v>
      </c>
      <c r="B36" t="s">
        <v>55</v>
      </c>
      <c r="C36" s="9">
        <v>41461</v>
      </c>
      <c r="D36" s="1" t="s">
        <v>1</v>
      </c>
      <c r="E36" s="2">
        <v>3</v>
      </c>
      <c r="F36" s="1" t="s">
        <v>76</v>
      </c>
      <c r="G36" s="1" t="s">
        <v>44</v>
      </c>
      <c r="H36" s="1">
        <v>5</v>
      </c>
      <c r="I36" s="1">
        <v>0.154</v>
      </c>
      <c r="J36" s="35">
        <v>0</v>
      </c>
      <c r="K36" s="35">
        <v>0.08</v>
      </c>
      <c r="L36" s="35">
        <v>3</v>
      </c>
      <c r="M36">
        <f t="shared" si="2"/>
        <v>8.3621999999999993E-4</v>
      </c>
      <c r="N36">
        <f t="shared" si="3"/>
        <v>7.3163779999999998E-2</v>
      </c>
    </row>
    <row r="37" spans="1:14" x14ac:dyDescent="0.3">
      <c r="A37" t="s">
        <v>71</v>
      </c>
      <c r="B37" t="s">
        <v>55</v>
      </c>
      <c r="C37" s="9">
        <v>41461</v>
      </c>
      <c r="D37" s="1" t="s">
        <v>1</v>
      </c>
      <c r="E37" s="2">
        <v>4</v>
      </c>
      <c r="F37" s="1" t="s">
        <v>78</v>
      </c>
      <c r="G37" s="1" t="s">
        <v>44</v>
      </c>
      <c r="H37" s="1">
        <v>1</v>
      </c>
      <c r="I37" s="1">
        <v>0.248</v>
      </c>
      <c r="J37" s="1">
        <v>0</v>
      </c>
      <c r="K37" s="1">
        <v>0.17899999999999999</v>
      </c>
      <c r="L37" s="1">
        <v>3</v>
      </c>
      <c r="M37">
        <f t="shared" si="2"/>
        <v>1.3466400000000001E-3</v>
      </c>
      <c r="N37">
        <f t="shared" si="3"/>
        <v>6.765336000000001E-2</v>
      </c>
    </row>
    <row r="38" spans="1:14" x14ac:dyDescent="0.3">
      <c r="A38" t="s">
        <v>71</v>
      </c>
      <c r="B38" t="s">
        <v>55</v>
      </c>
      <c r="C38" s="9">
        <v>41463</v>
      </c>
      <c r="D38" s="1" t="s">
        <v>61</v>
      </c>
      <c r="E38" s="2">
        <v>1</v>
      </c>
      <c r="F38" s="1" t="s">
        <v>78</v>
      </c>
      <c r="G38" s="1" t="s">
        <v>44</v>
      </c>
      <c r="H38" s="1">
        <v>3</v>
      </c>
      <c r="I38" s="1">
        <v>0.35199999999999998</v>
      </c>
      <c r="J38" s="1">
        <v>2</v>
      </c>
      <c r="K38" s="1">
        <v>0.30499999999999999</v>
      </c>
      <c r="L38" s="1">
        <v>1</v>
      </c>
      <c r="M38">
        <f t="shared" si="2"/>
        <v>2.5460159999999999E-2</v>
      </c>
      <c r="N38">
        <f t="shared" si="3"/>
        <v>2.1539839999999987E-2</v>
      </c>
    </row>
    <row r="39" spans="1:14" x14ac:dyDescent="0.3">
      <c r="A39" t="s">
        <v>71</v>
      </c>
      <c r="B39" t="s">
        <v>55</v>
      </c>
      <c r="C39" s="9">
        <v>41463</v>
      </c>
      <c r="D39" s="1" t="s">
        <v>61</v>
      </c>
      <c r="E39" s="2">
        <v>2</v>
      </c>
      <c r="F39" s="1" t="s">
        <v>76</v>
      </c>
      <c r="G39" s="1" t="s">
        <v>44</v>
      </c>
      <c r="H39" s="1">
        <v>3</v>
      </c>
      <c r="I39" s="1">
        <v>0.30099999999999999</v>
      </c>
      <c r="J39" s="1">
        <v>1</v>
      </c>
      <c r="K39" s="1">
        <v>0.18</v>
      </c>
      <c r="L39" s="1">
        <v>2</v>
      </c>
      <c r="M39">
        <f t="shared" si="2"/>
        <v>2.1771330000000002E-2</v>
      </c>
      <c r="N39">
        <f t="shared" si="3"/>
        <v>9.9228669999999991E-2</v>
      </c>
    </row>
    <row r="40" spans="1:14" x14ac:dyDescent="0.3">
      <c r="A40" t="s">
        <v>71</v>
      </c>
      <c r="B40" t="s">
        <v>55</v>
      </c>
      <c r="C40" s="9">
        <v>41463</v>
      </c>
      <c r="D40" s="1" t="s">
        <v>61</v>
      </c>
      <c r="E40" s="2">
        <v>3</v>
      </c>
      <c r="F40" s="1" t="s">
        <v>77</v>
      </c>
      <c r="G40" s="1" t="s">
        <v>41</v>
      </c>
      <c r="H40" s="1">
        <v>3</v>
      </c>
      <c r="I40" s="1">
        <v>0.16600000000000001</v>
      </c>
      <c r="J40" s="1">
        <v>3</v>
      </c>
      <c r="K40" s="1">
        <v>0.189</v>
      </c>
      <c r="L40" s="1">
        <v>0</v>
      </c>
      <c r="M40">
        <f t="shared" si="2"/>
        <v>1.2006780000000002E-2</v>
      </c>
      <c r="N40">
        <f t="shared" si="3"/>
        <v>-3.5006779999999994E-2</v>
      </c>
    </row>
    <row r="41" spans="1:14" x14ac:dyDescent="0.3">
      <c r="A41" t="s">
        <v>71</v>
      </c>
      <c r="B41" t="s">
        <v>55</v>
      </c>
      <c r="C41" s="9">
        <v>41463</v>
      </c>
      <c r="D41" s="1" t="s">
        <v>61</v>
      </c>
      <c r="E41" s="2">
        <v>4</v>
      </c>
      <c r="F41" s="1" t="s">
        <v>74</v>
      </c>
      <c r="G41" s="1" t="s">
        <v>41</v>
      </c>
      <c r="H41" s="1">
        <v>3</v>
      </c>
      <c r="I41" s="1">
        <v>0.27900000000000003</v>
      </c>
      <c r="J41" s="1">
        <v>0</v>
      </c>
      <c r="K41" s="1">
        <v>0.17899999999999999</v>
      </c>
      <c r="L41" s="1">
        <v>3</v>
      </c>
      <c r="M41">
        <f t="shared" si="2"/>
        <v>2.0180070000000005E-2</v>
      </c>
      <c r="N41">
        <f t="shared" si="3"/>
        <v>7.9819930000000025E-2</v>
      </c>
    </row>
    <row r="42" spans="1:14" x14ac:dyDescent="0.3">
      <c r="A42" t="s">
        <v>59</v>
      </c>
      <c r="B42" t="s">
        <v>15</v>
      </c>
      <c r="C42" s="9">
        <v>41458</v>
      </c>
      <c r="D42" s="1" t="s">
        <v>61</v>
      </c>
      <c r="E42" s="2">
        <v>1</v>
      </c>
      <c r="F42" s="1" t="s">
        <v>43</v>
      </c>
      <c r="G42" s="1" t="s">
        <v>41</v>
      </c>
      <c r="H42" s="1">
        <v>3</v>
      </c>
      <c r="I42" s="1">
        <v>0.20399999999999999</v>
      </c>
      <c r="J42" s="1">
        <v>0</v>
      </c>
      <c r="K42" s="1">
        <v>0.127</v>
      </c>
      <c r="L42" s="1">
        <v>3</v>
      </c>
      <c r="M42">
        <f t="shared" si="2"/>
        <v>1.4755320000000001E-2</v>
      </c>
      <c r="N42">
        <f t="shared" si="3"/>
        <v>6.2244679999999983E-2</v>
      </c>
    </row>
    <row r="43" spans="1:14" x14ac:dyDescent="0.3">
      <c r="A43" t="s">
        <v>59</v>
      </c>
      <c r="B43" t="s">
        <v>15</v>
      </c>
      <c r="C43" s="9">
        <v>41458</v>
      </c>
      <c r="D43" s="1" t="s">
        <v>61</v>
      </c>
      <c r="E43" s="2">
        <v>2</v>
      </c>
      <c r="F43" s="1" t="s">
        <v>45</v>
      </c>
      <c r="G43" s="1" t="s">
        <v>44</v>
      </c>
      <c r="H43" s="1">
        <v>3</v>
      </c>
      <c r="I43" s="1">
        <v>0.27300000000000002</v>
      </c>
      <c r="J43" s="1">
        <v>0</v>
      </c>
      <c r="K43" s="1">
        <v>0.124</v>
      </c>
      <c r="L43" s="1">
        <v>4</v>
      </c>
      <c r="M43">
        <f t="shared" si="2"/>
        <v>1.9746090000000004E-2</v>
      </c>
      <c r="N43">
        <f t="shared" si="3"/>
        <v>0.12925391000000003</v>
      </c>
    </row>
    <row r="44" spans="1:14" x14ac:dyDescent="0.3">
      <c r="A44" t="s">
        <v>59</v>
      </c>
      <c r="B44" t="s">
        <v>15</v>
      </c>
      <c r="C44" s="9">
        <v>41458</v>
      </c>
      <c r="D44" s="1" t="s">
        <v>61</v>
      </c>
      <c r="E44" s="2">
        <v>3</v>
      </c>
      <c r="F44" s="1" t="s">
        <v>51</v>
      </c>
      <c r="G44" s="1" t="s">
        <v>44</v>
      </c>
      <c r="H44" s="1">
        <v>3</v>
      </c>
      <c r="I44" s="1">
        <v>0.32700000000000001</v>
      </c>
      <c r="J44" s="1">
        <v>3</v>
      </c>
      <c r="K44" s="1">
        <v>0.26300000000000001</v>
      </c>
      <c r="L44" s="1">
        <v>0</v>
      </c>
      <c r="M44">
        <f t="shared" si="2"/>
        <v>2.3651910000000002E-2</v>
      </c>
      <c r="N44">
        <f t="shared" si="3"/>
        <v>4.0348090000000003E-2</v>
      </c>
    </row>
    <row r="45" spans="1:14" x14ac:dyDescent="0.3">
      <c r="A45" t="s">
        <v>59</v>
      </c>
      <c r="B45" t="s">
        <v>15</v>
      </c>
      <c r="C45" s="9">
        <v>41458</v>
      </c>
      <c r="D45" s="1" t="s">
        <v>61</v>
      </c>
      <c r="E45" s="2">
        <v>4</v>
      </c>
      <c r="F45" s="1" t="s">
        <v>50</v>
      </c>
      <c r="G45" s="1" t="s">
        <v>41</v>
      </c>
      <c r="H45" s="1">
        <v>4</v>
      </c>
      <c r="I45" s="1">
        <v>0.313</v>
      </c>
      <c r="J45" s="1">
        <v>4</v>
      </c>
      <c r="K45" s="1">
        <v>0.29599999999999999</v>
      </c>
      <c r="L45" s="1">
        <v>0</v>
      </c>
      <c r="M45">
        <f t="shared" si="2"/>
        <v>2.2639290000000003E-2</v>
      </c>
      <c r="N45">
        <f t="shared" si="3"/>
        <v>-5.6392899999999878E-3</v>
      </c>
    </row>
    <row r="46" spans="1:14" x14ac:dyDescent="0.3">
      <c r="A46" s="32" t="s">
        <v>59</v>
      </c>
      <c r="B46" s="32" t="s">
        <v>15</v>
      </c>
      <c r="C46" s="33">
        <v>41460</v>
      </c>
      <c r="D46" s="35" t="s">
        <v>1</v>
      </c>
      <c r="E46" s="36">
        <v>1</v>
      </c>
      <c r="F46" s="35" t="s">
        <v>76</v>
      </c>
      <c r="G46" s="35" t="s">
        <v>44</v>
      </c>
      <c r="H46" s="35">
        <v>5</v>
      </c>
      <c r="I46" s="35">
        <v>0.25900000000000001</v>
      </c>
      <c r="J46" s="35">
        <v>0</v>
      </c>
      <c r="K46" s="35">
        <v>0.13800000000000001</v>
      </c>
      <c r="L46" s="35">
        <v>4</v>
      </c>
      <c r="M46">
        <f t="shared" si="2"/>
        <v>1.4063700000000001E-3</v>
      </c>
      <c r="N46">
        <f t="shared" si="3"/>
        <v>0.11959362999999999</v>
      </c>
    </row>
    <row r="47" spans="1:14" x14ac:dyDescent="0.3">
      <c r="A47" s="32" t="s">
        <v>59</v>
      </c>
      <c r="B47" s="32" t="s">
        <v>15</v>
      </c>
      <c r="C47" s="33">
        <v>41460</v>
      </c>
      <c r="D47" s="35" t="s">
        <v>1</v>
      </c>
      <c r="E47" s="36">
        <v>2</v>
      </c>
      <c r="F47" s="35" t="s">
        <v>80</v>
      </c>
      <c r="G47" s="35" t="s">
        <v>41</v>
      </c>
      <c r="H47" s="35">
        <v>1</v>
      </c>
      <c r="I47" s="35">
        <v>0.192</v>
      </c>
      <c r="J47" s="35">
        <v>0</v>
      </c>
      <c r="K47" s="35">
        <v>0.125</v>
      </c>
      <c r="L47" s="35">
        <v>2</v>
      </c>
      <c r="M47">
        <f t="shared" si="2"/>
        <v>1.0425600000000001E-3</v>
      </c>
      <c r="N47">
        <f t="shared" si="3"/>
        <v>6.5957440000000006E-2</v>
      </c>
    </row>
    <row r="48" spans="1:14" x14ac:dyDescent="0.3">
      <c r="A48" s="32" t="s">
        <v>59</v>
      </c>
      <c r="B48" s="32" t="s">
        <v>15</v>
      </c>
      <c r="C48" s="33">
        <v>41460</v>
      </c>
      <c r="D48" s="35" t="s">
        <v>1</v>
      </c>
      <c r="E48" s="36">
        <v>3</v>
      </c>
      <c r="F48" s="35" t="s">
        <v>77</v>
      </c>
      <c r="G48" s="35" t="s">
        <v>41</v>
      </c>
      <c r="H48" s="35">
        <v>3</v>
      </c>
      <c r="I48" s="35">
        <v>0.14099999999999999</v>
      </c>
      <c r="J48" s="35">
        <v>0</v>
      </c>
      <c r="K48" s="35">
        <v>5.6000000000000001E-2</v>
      </c>
      <c r="L48" s="35">
        <v>4</v>
      </c>
      <c r="M48">
        <f t="shared" si="2"/>
        <v>7.6562999999999989E-4</v>
      </c>
      <c r="N48">
        <f t="shared" si="3"/>
        <v>8.4234369999999989E-2</v>
      </c>
    </row>
    <row r="49" spans="1:14" x14ac:dyDescent="0.3">
      <c r="A49" s="32" t="s">
        <v>59</v>
      </c>
      <c r="B49" s="32" t="s">
        <v>15</v>
      </c>
      <c r="C49" s="33">
        <v>41460</v>
      </c>
      <c r="D49" s="35" t="s">
        <v>1</v>
      </c>
      <c r="E49" s="36">
        <v>4</v>
      </c>
      <c r="F49" s="35" t="s">
        <v>75</v>
      </c>
      <c r="G49" s="35" t="s">
        <v>44</v>
      </c>
      <c r="H49" s="35">
        <v>4</v>
      </c>
      <c r="I49" s="35">
        <v>0.14000000000000001</v>
      </c>
      <c r="J49" s="35">
        <v>0</v>
      </c>
      <c r="K49" s="35">
        <v>6.6000000000000003E-2</v>
      </c>
      <c r="L49" s="35">
        <v>4</v>
      </c>
      <c r="M49">
        <f t="shared" si="2"/>
        <v>7.6020000000000005E-4</v>
      </c>
      <c r="N49">
        <f t="shared" si="3"/>
        <v>7.3239800000000008E-2</v>
      </c>
    </row>
    <row r="50" spans="1:14" x14ac:dyDescent="0.3">
      <c r="A50" t="s">
        <v>59</v>
      </c>
      <c r="B50" t="s">
        <v>15</v>
      </c>
      <c r="C50" s="9">
        <v>41462</v>
      </c>
      <c r="D50" s="1" t="s">
        <v>61</v>
      </c>
      <c r="E50" s="2">
        <v>1</v>
      </c>
      <c r="F50" s="1" t="s">
        <v>46</v>
      </c>
      <c r="G50" s="1" t="s">
        <v>41</v>
      </c>
      <c r="H50" s="1">
        <v>3</v>
      </c>
      <c r="I50" s="1">
        <v>0.28499999999999998</v>
      </c>
      <c r="J50" s="1">
        <v>3</v>
      </c>
      <c r="K50" s="1">
        <v>0.25800000000000001</v>
      </c>
      <c r="L50" s="1">
        <v>0</v>
      </c>
      <c r="M50">
        <f t="shared" si="2"/>
        <v>2.0614049999999998E-2</v>
      </c>
      <c r="N50">
        <f t="shared" si="3"/>
        <v>6.3859499999999701E-3</v>
      </c>
    </row>
    <row r="51" spans="1:14" x14ac:dyDescent="0.3">
      <c r="A51" t="s">
        <v>59</v>
      </c>
      <c r="B51" t="s">
        <v>15</v>
      </c>
      <c r="C51" s="9">
        <v>41462</v>
      </c>
      <c r="D51" s="1" t="s">
        <v>61</v>
      </c>
      <c r="E51" s="2">
        <v>2</v>
      </c>
      <c r="F51" s="1" t="s">
        <v>48</v>
      </c>
      <c r="G51" s="1" t="s">
        <v>44</v>
      </c>
      <c r="H51" s="1">
        <v>3</v>
      </c>
      <c r="I51" s="1">
        <v>0.24299999999999999</v>
      </c>
      <c r="J51" s="1">
        <v>3</v>
      </c>
      <c r="K51" s="1">
        <v>0.23200000000000001</v>
      </c>
      <c r="L51" s="1">
        <v>0</v>
      </c>
      <c r="M51">
        <f t="shared" si="2"/>
        <v>1.7576190000000002E-2</v>
      </c>
      <c r="N51">
        <f t="shared" si="3"/>
        <v>-6.5761900000000199E-3</v>
      </c>
    </row>
    <row r="52" spans="1:14" x14ac:dyDescent="0.3">
      <c r="A52" t="s">
        <v>59</v>
      </c>
      <c r="B52" t="s">
        <v>15</v>
      </c>
      <c r="C52" s="9">
        <v>41462</v>
      </c>
      <c r="D52" s="1" t="s">
        <v>61</v>
      </c>
      <c r="E52" s="2">
        <v>3</v>
      </c>
      <c r="F52" s="1" t="s">
        <v>47</v>
      </c>
      <c r="G52" s="1" t="s">
        <v>44</v>
      </c>
      <c r="H52" s="1">
        <v>2</v>
      </c>
      <c r="I52" s="1">
        <v>0.33500000000000002</v>
      </c>
      <c r="J52" s="1">
        <v>0</v>
      </c>
      <c r="K52" s="1">
        <v>0.109</v>
      </c>
      <c r="L52" s="1">
        <v>4</v>
      </c>
      <c r="M52">
        <f t="shared" si="2"/>
        <v>2.4230550000000003E-2</v>
      </c>
      <c r="N52">
        <f t="shared" si="3"/>
        <v>0.20176945000000002</v>
      </c>
    </row>
    <row r="53" spans="1:14" x14ac:dyDescent="0.3">
      <c r="A53" t="s">
        <v>59</v>
      </c>
      <c r="B53" t="s">
        <v>15</v>
      </c>
      <c r="C53" s="9">
        <v>41462</v>
      </c>
      <c r="D53" s="1" t="s">
        <v>61</v>
      </c>
      <c r="E53" s="2">
        <v>4</v>
      </c>
      <c r="F53" s="1" t="s">
        <v>49</v>
      </c>
      <c r="G53" s="1" t="s">
        <v>41</v>
      </c>
      <c r="H53" s="1">
        <v>3</v>
      </c>
      <c r="I53" s="1">
        <v>0.27100000000000002</v>
      </c>
      <c r="J53" s="1">
        <v>3</v>
      </c>
      <c r="K53" s="1">
        <v>0.20799999999999999</v>
      </c>
      <c r="L53" s="1">
        <v>0</v>
      </c>
      <c r="M53">
        <f t="shared" si="2"/>
        <v>1.9601430000000003E-2</v>
      </c>
      <c r="N53">
        <f t="shared" si="3"/>
        <v>4.3398570000000025E-2</v>
      </c>
    </row>
    <row r="54" spans="1:14" x14ac:dyDescent="0.3">
      <c r="A54" t="s">
        <v>57</v>
      </c>
      <c r="B54" t="s">
        <v>55</v>
      </c>
      <c r="C54" s="9">
        <v>41457</v>
      </c>
      <c r="D54" s="1" t="s">
        <v>1</v>
      </c>
      <c r="E54" s="2">
        <v>1</v>
      </c>
      <c r="F54" s="1" t="s">
        <v>46</v>
      </c>
      <c r="G54" s="1" t="s">
        <v>41</v>
      </c>
      <c r="H54" s="1">
        <v>4</v>
      </c>
      <c r="I54" s="1">
        <v>0.16800000000000001</v>
      </c>
      <c r="J54" s="1">
        <v>4</v>
      </c>
      <c r="K54" s="1">
        <v>0.2</v>
      </c>
      <c r="L54" s="1">
        <v>0</v>
      </c>
      <c r="M54">
        <f t="shared" si="2"/>
        <v>9.1224000000000003E-4</v>
      </c>
      <c r="N54">
        <f t="shared" si="3"/>
        <v>-3.2912240000000002E-2</v>
      </c>
    </row>
    <row r="55" spans="1:14" x14ac:dyDescent="0.3">
      <c r="A55" t="s">
        <v>57</v>
      </c>
      <c r="B55" t="s">
        <v>55</v>
      </c>
      <c r="C55" s="9">
        <v>41457</v>
      </c>
      <c r="D55" s="1" t="s">
        <v>1</v>
      </c>
      <c r="E55" s="2">
        <v>2</v>
      </c>
      <c r="F55" s="1" t="s">
        <v>49</v>
      </c>
      <c r="G55" s="1" t="s">
        <v>41</v>
      </c>
      <c r="H55" s="1">
        <v>6</v>
      </c>
      <c r="I55" s="1">
        <v>0.184</v>
      </c>
      <c r="J55" s="1">
        <v>6</v>
      </c>
      <c r="K55" s="1">
        <v>0.188</v>
      </c>
      <c r="L55" s="1">
        <v>0</v>
      </c>
      <c r="M55">
        <f t="shared" si="2"/>
        <v>9.9912000000000004E-4</v>
      </c>
      <c r="N55">
        <f t="shared" si="3"/>
        <v>-4.9991200000000036E-3</v>
      </c>
    </row>
    <row r="56" spans="1:14" x14ac:dyDescent="0.3">
      <c r="A56" t="s">
        <v>57</v>
      </c>
      <c r="B56" t="s">
        <v>55</v>
      </c>
      <c r="C56" s="9">
        <v>41457</v>
      </c>
      <c r="D56" s="1" t="s">
        <v>1</v>
      </c>
      <c r="E56" s="2">
        <v>3</v>
      </c>
      <c r="F56" s="1" t="s">
        <v>48</v>
      </c>
      <c r="G56" s="1" t="s">
        <v>44</v>
      </c>
      <c r="H56" s="1">
        <v>5</v>
      </c>
      <c r="I56" s="1">
        <v>0.20300000000000001</v>
      </c>
      <c r="J56" s="1">
        <v>0</v>
      </c>
      <c r="K56" s="1">
        <v>0.104</v>
      </c>
      <c r="L56" s="1">
        <v>3</v>
      </c>
      <c r="M56">
        <f t="shared" si="2"/>
        <v>1.1022900000000001E-3</v>
      </c>
      <c r="N56">
        <f t="shared" si="3"/>
        <v>9.7897710000000013E-2</v>
      </c>
    </row>
    <row r="57" spans="1:14" x14ac:dyDescent="0.3">
      <c r="A57" t="s">
        <v>57</v>
      </c>
      <c r="B57" t="s">
        <v>55</v>
      </c>
      <c r="C57" s="9">
        <v>41457</v>
      </c>
      <c r="D57" s="1" t="s">
        <v>1</v>
      </c>
      <c r="E57" s="2">
        <v>4</v>
      </c>
      <c r="F57" s="1" t="s">
        <v>47</v>
      </c>
      <c r="G57" s="1" t="s">
        <v>44</v>
      </c>
      <c r="H57" s="1">
        <v>5</v>
      </c>
      <c r="I57" s="1">
        <v>0.17499999999999999</v>
      </c>
      <c r="J57" s="1">
        <v>5</v>
      </c>
      <c r="K57" s="1">
        <v>0.152</v>
      </c>
      <c r="L57" s="1">
        <v>0</v>
      </c>
      <c r="M57">
        <f t="shared" si="2"/>
        <v>9.5024999999999992E-4</v>
      </c>
      <c r="N57">
        <f t="shared" si="3"/>
        <v>2.2049749999999993E-2</v>
      </c>
    </row>
    <row r="58" spans="1:14" x14ac:dyDescent="0.3">
      <c r="A58" t="s">
        <v>86</v>
      </c>
      <c r="B58" t="s">
        <v>55</v>
      </c>
      <c r="C58" s="9">
        <v>41461</v>
      </c>
      <c r="D58" s="1" t="s">
        <v>1</v>
      </c>
      <c r="E58" s="2">
        <v>1</v>
      </c>
      <c r="F58" s="1" t="s">
        <v>75</v>
      </c>
      <c r="G58" s="1" t="s">
        <v>44</v>
      </c>
      <c r="H58" s="1">
        <v>1</v>
      </c>
      <c r="I58" s="1">
        <v>0.122</v>
      </c>
      <c r="J58" s="35">
        <v>1</v>
      </c>
      <c r="K58" s="35">
        <v>0.13400000000000001</v>
      </c>
      <c r="L58" s="35">
        <v>0</v>
      </c>
      <c r="M58">
        <f t="shared" si="2"/>
        <v>6.6246000000000002E-4</v>
      </c>
      <c r="N58">
        <f t="shared" si="3"/>
        <v>-1.2662460000000011E-2</v>
      </c>
    </row>
    <row r="59" spans="1:14" x14ac:dyDescent="0.3">
      <c r="A59" t="s">
        <v>86</v>
      </c>
      <c r="B59" t="s">
        <v>55</v>
      </c>
      <c r="C59" s="9">
        <v>41461</v>
      </c>
      <c r="D59" s="1" t="s">
        <v>1</v>
      </c>
      <c r="E59" s="2">
        <v>2</v>
      </c>
      <c r="F59" s="1" t="s">
        <v>74</v>
      </c>
      <c r="G59" s="1" t="s">
        <v>41</v>
      </c>
      <c r="H59" s="1">
        <v>2</v>
      </c>
      <c r="I59" s="1">
        <v>0.30299999999999999</v>
      </c>
      <c r="J59" s="35">
        <v>2</v>
      </c>
      <c r="K59" s="35">
        <v>0.26</v>
      </c>
      <c r="L59" s="35">
        <v>1</v>
      </c>
      <c r="M59">
        <f t="shared" si="2"/>
        <v>1.64529E-3</v>
      </c>
      <c r="N59">
        <f t="shared" si="3"/>
        <v>4.1354709999999982E-2</v>
      </c>
    </row>
    <row r="60" spans="1:14" x14ac:dyDescent="0.3">
      <c r="A60" t="s">
        <v>86</v>
      </c>
      <c r="B60" t="s">
        <v>55</v>
      </c>
      <c r="C60" s="9">
        <v>41461</v>
      </c>
      <c r="D60" s="1" t="s">
        <v>1</v>
      </c>
      <c r="E60" s="2">
        <v>3</v>
      </c>
      <c r="F60" s="1" t="s">
        <v>80</v>
      </c>
      <c r="G60" s="1" t="s">
        <v>41</v>
      </c>
      <c r="H60" s="1">
        <v>1</v>
      </c>
      <c r="I60" s="1">
        <v>0.19500000000000001</v>
      </c>
      <c r="J60" s="35">
        <v>1</v>
      </c>
      <c r="K60" s="35">
        <v>0.191</v>
      </c>
      <c r="L60" s="35">
        <v>0</v>
      </c>
      <c r="M60">
        <f t="shared" si="2"/>
        <v>1.0588500000000001E-3</v>
      </c>
      <c r="N60">
        <f t="shared" si="3"/>
        <v>2.9411500000000035E-3</v>
      </c>
    </row>
    <row r="61" spans="1:14" x14ac:dyDescent="0.3">
      <c r="A61" t="s">
        <v>86</v>
      </c>
      <c r="B61" t="s">
        <v>55</v>
      </c>
      <c r="C61" s="9">
        <v>41461</v>
      </c>
      <c r="D61" s="1" t="s">
        <v>1</v>
      </c>
      <c r="E61" s="2">
        <v>4</v>
      </c>
      <c r="F61" s="1" t="s">
        <v>78</v>
      </c>
      <c r="G61" s="1" t="s">
        <v>44</v>
      </c>
      <c r="H61" s="1">
        <v>1</v>
      </c>
      <c r="I61" s="1">
        <v>0.19600000000000001</v>
      </c>
      <c r="J61" s="1">
        <v>1</v>
      </c>
      <c r="K61" s="1">
        <v>0.14799999999999999</v>
      </c>
      <c r="L61" s="1">
        <v>1</v>
      </c>
      <c r="M61">
        <f t="shared" si="2"/>
        <v>1.0642800000000001E-3</v>
      </c>
      <c r="N61">
        <f t="shared" si="3"/>
        <v>4.6935720000000014E-2</v>
      </c>
    </row>
    <row r="62" spans="1:14" x14ac:dyDescent="0.3">
      <c r="A62" t="s">
        <v>86</v>
      </c>
      <c r="B62" t="s">
        <v>55</v>
      </c>
      <c r="C62" s="9">
        <v>41463</v>
      </c>
      <c r="D62" s="1" t="s">
        <v>61</v>
      </c>
      <c r="E62" s="2">
        <v>1</v>
      </c>
      <c r="F62" s="1" t="s">
        <v>81</v>
      </c>
      <c r="G62" s="1" t="s">
        <v>44</v>
      </c>
      <c r="H62" s="1">
        <v>5</v>
      </c>
      <c r="I62" s="1">
        <v>0.27300000000000002</v>
      </c>
      <c r="J62" s="1">
        <v>5</v>
      </c>
      <c r="K62" s="1">
        <v>0.28899999999999998</v>
      </c>
      <c r="L62" s="1">
        <v>0</v>
      </c>
      <c r="M62">
        <f t="shared" si="2"/>
        <v>1.9746090000000004E-2</v>
      </c>
      <c r="N62">
        <f t="shared" si="3"/>
        <v>-3.5746089999999967E-2</v>
      </c>
    </row>
    <row r="63" spans="1:14" x14ac:dyDescent="0.3">
      <c r="A63" t="s">
        <v>86</v>
      </c>
      <c r="B63" t="s">
        <v>55</v>
      </c>
      <c r="C63" s="9">
        <v>41463</v>
      </c>
      <c r="D63" s="1" t="s">
        <v>61</v>
      </c>
      <c r="E63" s="2">
        <v>2</v>
      </c>
      <c r="F63" s="1" t="s">
        <v>80</v>
      </c>
      <c r="G63" s="1" t="s">
        <v>41</v>
      </c>
      <c r="H63" s="1">
        <v>3</v>
      </c>
      <c r="I63" s="1">
        <v>0.157</v>
      </c>
      <c r="J63" s="1">
        <v>3</v>
      </c>
      <c r="K63" s="1">
        <v>0.182</v>
      </c>
      <c r="L63" s="1">
        <v>1</v>
      </c>
      <c r="M63">
        <f t="shared" si="2"/>
        <v>1.1355810000000001E-2</v>
      </c>
      <c r="N63">
        <f t="shared" si="3"/>
        <v>-3.6355809999999995E-2</v>
      </c>
    </row>
    <row r="64" spans="1:14" x14ac:dyDescent="0.3">
      <c r="A64" t="s">
        <v>86</v>
      </c>
      <c r="B64" t="s">
        <v>55</v>
      </c>
      <c r="C64" s="9">
        <v>41463</v>
      </c>
      <c r="D64" s="1" t="s">
        <v>61</v>
      </c>
      <c r="E64" s="2">
        <v>3</v>
      </c>
      <c r="F64" s="1" t="s">
        <v>79</v>
      </c>
      <c r="G64" s="1" t="s">
        <v>41</v>
      </c>
      <c r="H64" s="1">
        <v>3</v>
      </c>
      <c r="I64" s="1">
        <v>0.20100000000000001</v>
      </c>
      <c r="J64" s="1">
        <v>3</v>
      </c>
      <c r="K64" s="1">
        <v>0.222</v>
      </c>
      <c r="L64" s="1">
        <v>0</v>
      </c>
      <c r="M64">
        <f t="shared" si="2"/>
        <v>1.4538330000000002E-2</v>
      </c>
      <c r="N64">
        <f t="shared" si="3"/>
        <v>-3.5538329999999993E-2</v>
      </c>
    </row>
    <row r="65" spans="1:14" x14ac:dyDescent="0.3">
      <c r="A65" t="s">
        <v>86</v>
      </c>
      <c r="B65" t="s">
        <v>55</v>
      </c>
      <c r="C65" s="9">
        <v>41463</v>
      </c>
      <c r="D65" s="1" t="s">
        <v>61</v>
      </c>
      <c r="E65" s="2">
        <v>4</v>
      </c>
      <c r="F65" s="1" t="s">
        <v>75</v>
      </c>
      <c r="G65" s="1" t="s">
        <v>44</v>
      </c>
      <c r="H65" s="1">
        <v>3</v>
      </c>
      <c r="I65" s="1">
        <v>0.21199999999999999</v>
      </c>
      <c r="J65" s="1">
        <v>3</v>
      </c>
      <c r="K65" s="1">
        <v>0.20499999999999999</v>
      </c>
      <c r="L65" s="1">
        <v>0</v>
      </c>
      <c r="M65">
        <f t="shared" si="2"/>
        <v>1.5333960000000001E-2</v>
      </c>
      <c r="N65">
        <f t="shared" si="3"/>
        <v>-8.3339599999999944E-3</v>
      </c>
    </row>
    <row r="66" spans="1:14" x14ac:dyDescent="0.3">
      <c r="A66" t="s">
        <v>72</v>
      </c>
      <c r="B66" t="s">
        <v>55</v>
      </c>
      <c r="C66" s="9">
        <v>41461</v>
      </c>
      <c r="D66" s="1" t="s">
        <v>1</v>
      </c>
      <c r="E66" s="2">
        <v>1</v>
      </c>
      <c r="F66" s="1" t="s">
        <v>76</v>
      </c>
      <c r="G66" s="1" t="s">
        <v>44</v>
      </c>
      <c r="H66" s="1">
        <v>5</v>
      </c>
      <c r="I66" s="1">
        <v>0.16500000000000001</v>
      </c>
      <c r="J66" s="35">
        <v>5</v>
      </c>
      <c r="K66" s="35">
        <v>0.16600000000000001</v>
      </c>
      <c r="L66" s="35">
        <v>0</v>
      </c>
      <c r="M66">
        <f t="shared" ref="M66:M97" si="4">IF(D66="Salix arctica",I66*0.00543,I66*0.07233)</f>
        <v>8.9595000000000007E-4</v>
      </c>
      <c r="N66">
        <f t="shared" ref="N66:N97" si="5">I66-K66-M66</f>
        <v>-1.8959500000000008E-3</v>
      </c>
    </row>
    <row r="67" spans="1:14" x14ac:dyDescent="0.3">
      <c r="A67" t="s">
        <v>72</v>
      </c>
      <c r="B67" t="s">
        <v>55</v>
      </c>
      <c r="C67" s="9">
        <v>41461</v>
      </c>
      <c r="D67" s="1" t="s">
        <v>1</v>
      </c>
      <c r="E67" s="2">
        <v>2</v>
      </c>
      <c r="F67" s="1" t="s">
        <v>79</v>
      </c>
      <c r="G67" s="1" t="s">
        <v>41</v>
      </c>
      <c r="H67" s="1">
        <v>2</v>
      </c>
      <c r="I67" s="1">
        <v>0.318</v>
      </c>
      <c r="J67" s="35">
        <v>2</v>
      </c>
      <c r="K67" s="35">
        <v>0.34200000000000003</v>
      </c>
      <c r="L67" s="35">
        <v>0</v>
      </c>
      <c r="M67">
        <f t="shared" si="4"/>
        <v>1.72674E-3</v>
      </c>
      <c r="N67">
        <f t="shared" si="5"/>
        <v>-2.5726740000000022E-2</v>
      </c>
    </row>
    <row r="68" spans="1:14" x14ac:dyDescent="0.3">
      <c r="A68" t="s">
        <v>72</v>
      </c>
      <c r="B68" t="s">
        <v>55</v>
      </c>
      <c r="C68" s="9">
        <v>41461</v>
      </c>
      <c r="D68" s="1" t="s">
        <v>1</v>
      </c>
      <c r="E68" s="2">
        <v>3</v>
      </c>
      <c r="F68" s="1" t="s">
        <v>81</v>
      </c>
      <c r="G68" s="1" t="s">
        <v>44</v>
      </c>
      <c r="H68" s="1">
        <v>2</v>
      </c>
      <c r="I68" s="1">
        <v>0.28999999999999998</v>
      </c>
      <c r="J68" s="35">
        <v>0</v>
      </c>
      <c r="K68" s="35">
        <v>0.17799999999999999</v>
      </c>
      <c r="L68" s="35">
        <v>3</v>
      </c>
      <c r="M68">
        <f t="shared" si="4"/>
        <v>1.5746999999999998E-3</v>
      </c>
      <c r="N68">
        <f t="shared" si="5"/>
        <v>0.11042529999999999</v>
      </c>
    </row>
    <row r="69" spans="1:14" x14ac:dyDescent="0.3">
      <c r="A69" t="s">
        <v>72</v>
      </c>
      <c r="B69" t="s">
        <v>55</v>
      </c>
      <c r="C69" s="9">
        <v>41461</v>
      </c>
      <c r="D69" s="1" t="s">
        <v>1</v>
      </c>
      <c r="E69" s="2">
        <v>4</v>
      </c>
      <c r="F69" s="1" t="s">
        <v>77</v>
      </c>
      <c r="G69" s="1" t="s">
        <v>41</v>
      </c>
      <c r="H69" s="1">
        <v>4</v>
      </c>
      <c r="I69" s="1">
        <v>0.19400000000000001</v>
      </c>
      <c r="J69" s="1">
        <v>3</v>
      </c>
      <c r="K69" s="1">
        <v>0.17499999999999999</v>
      </c>
      <c r="L69" s="1">
        <v>1</v>
      </c>
      <c r="M69">
        <f t="shared" si="4"/>
        <v>1.05342E-3</v>
      </c>
      <c r="N69">
        <f t="shared" si="5"/>
        <v>1.7946580000000018E-2</v>
      </c>
    </row>
    <row r="70" spans="1:14" x14ac:dyDescent="0.3">
      <c r="A70" t="s">
        <v>72</v>
      </c>
      <c r="B70" t="s">
        <v>55</v>
      </c>
      <c r="C70" s="9">
        <v>41463</v>
      </c>
      <c r="D70" s="1" t="s">
        <v>61</v>
      </c>
      <c r="E70" s="2">
        <v>1</v>
      </c>
      <c r="F70" s="1" t="s">
        <v>74</v>
      </c>
      <c r="G70" s="1" t="s">
        <v>41</v>
      </c>
      <c r="H70" s="1">
        <v>3</v>
      </c>
      <c r="I70" s="1">
        <v>0.158</v>
      </c>
      <c r="J70" s="1">
        <v>3</v>
      </c>
      <c r="K70" s="1">
        <v>0.16400000000000001</v>
      </c>
      <c r="L70" s="1">
        <v>1</v>
      </c>
      <c r="M70">
        <f t="shared" si="4"/>
        <v>1.1428140000000002E-2</v>
      </c>
      <c r="N70">
        <f t="shared" si="5"/>
        <v>-1.7428140000000009E-2</v>
      </c>
    </row>
    <row r="71" spans="1:14" x14ac:dyDescent="0.3">
      <c r="A71" t="s">
        <v>72</v>
      </c>
      <c r="B71" t="s">
        <v>55</v>
      </c>
      <c r="C71" s="9">
        <v>41463</v>
      </c>
      <c r="D71" s="1" t="s">
        <v>61</v>
      </c>
      <c r="E71" s="2">
        <v>2</v>
      </c>
      <c r="F71" s="1" t="s">
        <v>80</v>
      </c>
      <c r="G71" s="1" t="s">
        <v>41</v>
      </c>
      <c r="H71" s="1">
        <v>3</v>
      </c>
      <c r="I71" s="1">
        <v>0.24099999999999999</v>
      </c>
      <c r="J71" s="1">
        <v>3</v>
      </c>
      <c r="K71" s="1">
        <v>0.252</v>
      </c>
      <c r="L71" s="1">
        <v>0</v>
      </c>
      <c r="M71">
        <f t="shared" si="4"/>
        <v>1.7431530000000001E-2</v>
      </c>
      <c r="N71">
        <f t="shared" si="5"/>
        <v>-2.843153000000001E-2</v>
      </c>
    </row>
    <row r="72" spans="1:14" x14ac:dyDescent="0.3">
      <c r="A72" t="s">
        <v>72</v>
      </c>
      <c r="B72" t="s">
        <v>55</v>
      </c>
      <c r="C72" s="9">
        <v>41463</v>
      </c>
      <c r="D72" s="1" t="s">
        <v>61</v>
      </c>
      <c r="E72" s="2">
        <v>3</v>
      </c>
      <c r="F72" s="1" t="s">
        <v>78</v>
      </c>
      <c r="G72" s="1" t="s">
        <v>44</v>
      </c>
      <c r="H72" s="1">
        <v>4</v>
      </c>
      <c r="I72" s="1">
        <v>0.33700000000000002</v>
      </c>
      <c r="J72" s="1">
        <v>2</v>
      </c>
      <c r="K72" s="1">
        <v>0.29699999999999999</v>
      </c>
      <c r="L72" s="1">
        <v>2</v>
      </c>
      <c r="M72">
        <f t="shared" si="4"/>
        <v>2.4375210000000005E-2</v>
      </c>
      <c r="N72">
        <f t="shared" si="5"/>
        <v>1.5624790000000031E-2</v>
      </c>
    </row>
    <row r="73" spans="1:14" x14ac:dyDescent="0.3">
      <c r="A73" t="s">
        <v>72</v>
      </c>
      <c r="B73" t="s">
        <v>55</v>
      </c>
      <c r="C73" s="9">
        <v>41463</v>
      </c>
      <c r="D73" s="1" t="s">
        <v>61</v>
      </c>
      <c r="E73" s="2">
        <v>4</v>
      </c>
      <c r="F73" s="1" t="s">
        <v>75</v>
      </c>
      <c r="G73" s="1" t="s">
        <v>44</v>
      </c>
      <c r="H73" s="1">
        <v>4</v>
      </c>
      <c r="I73" s="1">
        <v>0.182</v>
      </c>
      <c r="J73" s="1">
        <v>4</v>
      </c>
      <c r="K73" s="1">
        <v>0.16400000000000001</v>
      </c>
      <c r="L73" s="1">
        <v>0</v>
      </c>
      <c r="M73">
        <f t="shared" si="4"/>
        <v>1.316406E-2</v>
      </c>
      <c r="N73">
        <f t="shared" si="5"/>
        <v>4.8359399999999882E-3</v>
      </c>
    </row>
    <row r="74" spans="1:14" x14ac:dyDescent="0.3">
      <c r="A74" t="s">
        <v>38</v>
      </c>
      <c r="B74" t="s">
        <v>15</v>
      </c>
      <c r="C74" s="9">
        <v>41456</v>
      </c>
      <c r="D74" s="1" t="s">
        <v>1</v>
      </c>
      <c r="E74" s="2">
        <v>1</v>
      </c>
      <c r="F74" s="1" t="s">
        <v>49</v>
      </c>
      <c r="G74" s="1" t="s">
        <v>41</v>
      </c>
      <c r="H74" s="1">
        <v>3</v>
      </c>
      <c r="I74" s="1">
        <v>8.5999999999999993E-2</v>
      </c>
      <c r="J74" s="1">
        <v>0</v>
      </c>
      <c r="K74" s="1">
        <v>4.4999999999999998E-2</v>
      </c>
      <c r="L74" s="1">
        <v>4</v>
      </c>
      <c r="M74">
        <f t="shared" si="4"/>
        <v>4.6697999999999998E-4</v>
      </c>
      <c r="N74">
        <f t="shared" si="5"/>
        <v>4.0533019999999996E-2</v>
      </c>
    </row>
    <row r="75" spans="1:14" x14ac:dyDescent="0.3">
      <c r="A75" t="s">
        <v>38</v>
      </c>
      <c r="B75" t="s">
        <v>15</v>
      </c>
      <c r="C75" s="9">
        <v>41456</v>
      </c>
      <c r="D75" s="1" t="s">
        <v>1</v>
      </c>
      <c r="E75" s="2">
        <v>2</v>
      </c>
      <c r="F75" s="1" t="s">
        <v>50</v>
      </c>
      <c r="G75" s="1" t="s">
        <v>41</v>
      </c>
      <c r="H75" s="1">
        <v>4</v>
      </c>
      <c r="I75" s="1">
        <v>8.3000000000000004E-2</v>
      </c>
      <c r="J75" s="1">
        <v>1</v>
      </c>
      <c r="K75" s="1">
        <v>0.05</v>
      </c>
      <c r="L75" s="1">
        <v>4</v>
      </c>
      <c r="M75">
        <f t="shared" si="4"/>
        <v>4.5069000000000001E-4</v>
      </c>
      <c r="N75">
        <f t="shared" si="5"/>
        <v>3.2549310000000005E-2</v>
      </c>
    </row>
    <row r="76" spans="1:14" x14ac:dyDescent="0.3">
      <c r="A76" t="s">
        <v>38</v>
      </c>
      <c r="B76" t="s">
        <v>15</v>
      </c>
      <c r="C76" s="9">
        <v>41456</v>
      </c>
      <c r="D76" s="1" t="s">
        <v>1</v>
      </c>
      <c r="E76" s="2">
        <v>3</v>
      </c>
      <c r="F76" s="1" t="s">
        <v>51</v>
      </c>
      <c r="G76" s="1" t="s">
        <v>44</v>
      </c>
      <c r="H76" s="1">
        <v>4</v>
      </c>
      <c r="I76" s="1">
        <v>0.16500000000000001</v>
      </c>
      <c r="J76" s="1">
        <v>1</v>
      </c>
      <c r="K76" s="1">
        <v>7.3999999999999996E-2</v>
      </c>
      <c r="L76" s="1">
        <v>0</v>
      </c>
      <c r="M76">
        <f t="shared" si="4"/>
        <v>8.9595000000000007E-4</v>
      </c>
      <c r="N76">
        <f t="shared" si="5"/>
        <v>9.0104050000000005E-2</v>
      </c>
    </row>
    <row r="77" spans="1:14" x14ac:dyDescent="0.3">
      <c r="A77" t="s">
        <v>38</v>
      </c>
      <c r="B77" t="s">
        <v>15</v>
      </c>
      <c r="C77" s="9">
        <v>41456</v>
      </c>
      <c r="D77" s="1" t="s">
        <v>1</v>
      </c>
      <c r="E77" s="2">
        <v>4</v>
      </c>
      <c r="F77" s="1" t="s">
        <v>48</v>
      </c>
      <c r="G77" s="1" t="s">
        <v>44</v>
      </c>
      <c r="H77" s="1">
        <v>4</v>
      </c>
      <c r="I77" s="1">
        <v>0.105</v>
      </c>
      <c r="J77" s="1">
        <v>0</v>
      </c>
      <c r="K77" s="1">
        <v>0</v>
      </c>
      <c r="L77" s="1">
        <v>4</v>
      </c>
      <c r="M77">
        <f t="shared" si="4"/>
        <v>5.7014999999999995E-4</v>
      </c>
      <c r="N77">
        <f t="shared" si="5"/>
        <v>0.10442984999999999</v>
      </c>
    </row>
    <row r="78" spans="1:14" x14ac:dyDescent="0.3">
      <c r="A78" t="s">
        <v>39</v>
      </c>
      <c r="B78" t="s">
        <v>15</v>
      </c>
      <c r="C78" s="9">
        <v>41456</v>
      </c>
      <c r="D78" s="1" t="s">
        <v>1</v>
      </c>
      <c r="E78" s="2">
        <v>1</v>
      </c>
      <c r="F78" s="1" t="s">
        <v>43</v>
      </c>
      <c r="G78" s="1" t="s">
        <v>41</v>
      </c>
      <c r="H78" s="1">
        <v>3</v>
      </c>
      <c r="I78" s="1">
        <v>0.10299999999999999</v>
      </c>
      <c r="J78" s="1">
        <v>3</v>
      </c>
      <c r="K78" s="1">
        <v>0.11</v>
      </c>
      <c r="L78" s="1">
        <v>0</v>
      </c>
      <c r="M78">
        <f t="shared" si="4"/>
        <v>5.5928999999999994E-4</v>
      </c>
      <c r="N78">
        <f t="shared" si="5"/>
        <v>-7.5592900000000058E-3</v>
      </c>
    </row>
    <row r="79" spans="1:14" x14ac:dyDescent="0.3">
      <c r="A79" t="s">
        <v>39</v>
      </c>
      <c r="B79" t="s">
        <v>15</v>
      </c>
      <c r="C79" s="9">
        <v>41456</v>
      </c>
      <c r="D79" s="1" t="s">
        <v>1</v>
      </c>
      <c r="E79" s="2">
        <v>2</v>
      </c>
      <c r="F79" s="1" t="s">
        <v>45</v>
      </c>
      <c r="G79" s="1" t="s">
        <v>44</v>
      </c>
      <c r="H79" s="1">
        <v>4</v>
      </c>
      <c r="I79" s="1">
        <v>0.13200000000000001</v>
      </c>
      <c r="J79" s="1">
        <v>4</v>
      </c>
      <c r="K79" s="1">
        <v>0.13900000000000001</v>
      </c>
      <c r="L79" s="1">
        <v>0</v>
      </c>
      <c r="M79">
        <f t="shared" si="4"/>
        <v>7.1675999999999999E-4</v>
      </c>
      <c r="N79">
        <f t="shared" si="5"/>
        <v>-7.7167600000000065E-3</v>
      </c>
    </row>
    <row r="80" spans="1:14" x14ac:dyDescent="0.3">
      <c r="A80" t="s">
        <v>39</v>
      </c>
      <c r="B80" t="s">
        <v>15</v>
      </c>
      <c r="C80" s="9">
        <v>41456</v>
      </c>
      <c r="D80" s="1" t="s">
        <v>1</v>
      </c>
      <c r="E80" s="2">
        <v>3</v>
      </c>
      <c r="F80" s="1" t="s">
        <v>50</v>
      </c>
      <c r="G80" s="1" t="s">
        <v>41</v>
      </c>
      <c r="H80" s="1">
        <v>3</v>
      </c>
      <c r="I80" s="1">
        <v>0.09</v>
      </c>
      <c r="J80" s="1">
        <v>3</v>
      </c>
      <c r="K80" s="1">
        <v>0.1</v>
      </c>
      <c r="L80" s="1">
        <v>0</v>
      </c>
      <c r="M80">
        <f t="shared" si="4"/>
        <v>4.8870000000000001E-4</v>
      </c>
      <c r="N80">
        <f t="shared" si="5"/>
        <v>-1.0488700000000009E-2</v>
      </c>
    </row>
    <row r="81" spans="1:14" x14ac:dyDescent="0.3">
      <c r="A81" t="s">
        <v>39</v>
      </c>
      <c r="B81" t="s">
        <v>15</v>
      </c>
      <c r="C81" s="9">
        <v>41456</v>
      </c>
      <c r="D81" s="1" t="s">
        <v>1</v>
      </c>
      <c r="E81" s="2">
        <v>4</v>
      </c>
      <c r="F81" s="1" t="s">
        <v>51</v>
      </c>
      <c r="G81" s="1" t="s">
        <v>44</v>
      </c>
      <c r="H81" s="1">
        <v>4</v>
      </c>
      <c r="I81" s="1">
        <v>0.13600000000000001</v>
      </c>
      <c r="J81" s="1">
        <v>1</v>
      </c>
      <c r="K81" s="1">
        <v>7.9000000000000001E-2</v>
      </c>
      <c r="L81" s="1">
        <v>3</v>
      </c>
      <c r="M81">
        <f t="shared" si="4"/>
        <v>7.3848000000000002E-4</v>
      </c>
      <c r="N81">
        <f t="shared" si="5"/>
        <v>5.6261520000000009E-2</v>
      </c>
    </row>
    <row r="82" spans="1:14" x14ac:dyDescent="0.3">
      <c r="A82" s="32" t="s">
        <v>39</v>
      </c>
      <c r="B82" s="32" t="s">
        <v>15</v>
      </c>
      <c r="C82" s="9">
        <v>41465</v>
      </c>
      <c r="D82" s="1" t="s">
        <v>61</v>
      </c>
      <c r="E82" s="36">
        <v>1</v>
      </c>
      <c r="F82" s="35" t="s">
        <v>48</v>
      </c>
      <c r="G82" s="35" t="s">
        <v>44</v>
      </c>
      <c r="H82" s="35">
        <v>5</v>
      </c>
      <c r="I82" s="35">
        <v>0.32500000000000001</v>
      </c>
      <c r="J82" s="35">
        <v>4</v>
      </c>
      <c r="K82" s="35">
        <v>0.32500000000000001</v>
      </c>
      <c r="L82" s="35">
        <v>2</v>
      </c>
      <c r="M82">
        <f t="shared" si="4"/>
        <v>2.3507250000000004E-2</v>
      </c>
      <c r="N82">
        <f t="shared" si="5"/>
        <v>-2.3507250000000004E-2</v>
      </c>
    </row>
    <row r="83" spans="1:14" x14ac:dyDescent="0.3">
      <c r="A83" s="32" t="s">
        <v>39</v>
      </c>
      <c r="B83" s="32" t="s">
        <v>15</v>
      </c>
      <c r="C83" s="9">
        <v>41465</v>
      </c>
      <c r="D83" s="1" t="s">
        <v>61</v>
      </c>
      <c r="E83" s="36">
        <v>2</v>
      </c>
      <c r="F83" s="35" t="s">
        <v>43</v>
      </c>
      <c r="G83" s="35" t="s">
        <v>41</v>
      </c>
      <c r="H83" s="35">
        <v>6</v>
      </c>
      <c r="I83" s="35">
        <v>0.28199999999999997</v>
      </c>
      <c r="J83" s="35">
        <v>6</v>
      </c>
      <c r="K83" s="35">
        <v>0.29799999999999999</v>
      </c>
      <c r="L83" s="35">
        <v>0</v>
      </c>
      <c r="M83">
        <f t="shared" si="4"/>
        <v>2.0397059999999998E-2</v>
      </c>
      <c r="N83">
        <f t="shared" si="5"/>
        <v>-3.6397060000000009E-2</v>
      </c>
    </row>
    <row r="84" spans="1:14" x14ac:dyDescent="0.3">
      <c r="A84" s="32" t="s">
        <v>39</v>
      </c>
      <c r="B84" s="32" t="s">
        <v>15</v>
      </c>
      <c r="C84" s="9">
        <v>41465</v>
      </c>
      <c r="D84" s="1" t="s">
        <v>61</v>
      </c>
      <c r="E84" s="36">
        <v>3</v>
      </c>
      <c r="F84" s="35" t="s">
        <v>45</v>
      </c>
      <c r="G84" s="35" t="s">
        <v>44</v>
      </c>
      <c r="H84" s="35">
        <v>3</v>
      </c>
      <c r="I84" s="35">
        <v>0.17499999999999999</v>
      </c>
      <c r="J84" s="35">
        <v>1</v>
      </c>
      <c r="K84" s="35">
        <v>9.4E-2</v>
      </c>
      <c r="L84" s="35">
        <v>3</v>
      </c>
      <c r="M84">
        <f t="shared" si="4"/>
        <v>1.2657750000000001E-2</v>
      </c>
      <c r="N84">
        <f t="shared" si="5"/>
        <v>6.8342249999999993E-2</v>
      </c>
    </row>
    <row r="85" spans="1:14" x14ac:dyDescent="0.3">
      <c r="A85" s="32" t="s">
        <v>39</v>
      </c>
      <c r="B85" s="32" t="s">
        <v>15</v>
      </c>
      <c r="C85" s="9">
        <v>41465</v>
      </c>
      <c r="D85" s="1" t="s">
        <v>61</v>
      </c>
      <c r="E85" s="36">
        <v>4</v>
      </c>
      <c r="F85" s="35" t="s">
        <v>49</v>
      </c>
      <c r="G85" s="35" t="s">
        <v>41</v>
      </c>
      <c r="H85" s="35">
        <v>2</v>
      </c>
      <c r="I85" s="35">
        <v>0.28000000000000003</v>
      </c>
      <c r="J85" s="35">
        <v>2</v>
      </c>
      <c r="K85" s="35">
        <v>0.22600000000000001</v>
      </c>
      <c r="L85" s="35">
        <v>2</v>
      </c>
      <c r="M85">
        <f t="shared" si="4"/>
        <v>2.0252400000000004E-2</v>
      </c>
      <c r="N85">
        <f t="shared" si="5"/>
        <v>3.3747600000000016E-2</v>
      </c>
    </row>
    <row r="86" spans="1:14" x14ac:dyDescent="0.3">
      <c r="A86" s="32" t="s">
        <v>64</v>
      </c>
      <c r="B86" s="32" t="s">
        <v>15</v>
      </c>
      <c r="C86" s="33">
        <v>41459</v>
      </c>
      <c r="D86" s="35" t="s">
        <v>61</v>
      </c>
      <c r="E86" s="36">
        <v>1</v>
      </c>
      <c r="F86" s="35" t="s">
        <v>74</v>
      </c>
      <c r="G86" s="35" t="s">
        <v>41</v>
      </c>
      <c r="H86" s="35">
        <v>4</v>
      </c>
      <c r="I86" s="35">
        <v>0.40100000000000002</v>
      </c>
      <c r="J86" s="35">
        <v>4</v>
      </c>
      <c r="K86" s="35">
        <v>0.32800000000000001</v>
      </c>
      <c r="L86" s="35">
        <v>0</v>
      </c>
      <c r="M86">
        <f t="shared" si="4"/>
        <v>2.9004330000000005E-2</v>
      </c>
      <c r="N86">
        <f t="shared" si="5"/>
        <v>4.3995670000000001E-2</v>
      </c>
    </row>
    <row r="87" spans="1:14" x14ac:dyDescent="0.3">
      <c r="A87" s="32" t="s">
        <v>64</v>
      </c>
      <c r="B87" s="32" t="s">
        <v>15</v>
      </c>
      <c r="C87" s="33">
        <v>41459</v>
      </c>
      <c r="D87" s="35" t="s">
        <v>61</v>
      </c>
      <c r="E87" s="36">
        <v>2</v>
      </c>
      <c r="F87" s="35" t="s">
        <v>78</v>
      </c>
      <c r="G87" s="35" t="s">
        <v>44</v>
      </c>
      <c r="H87" s="35">
        <v>3</v>
      </c>
      <c r="I87" s="35">
        <v>0.35</v>
      </c>
      <c r="J87" s="35">
        <v>0</v>
      </c>
      <c r="K87" s="35">
        <v>0.218</v>
      </c>
      <c r="L87" s="35">
        <v>3</v>
      </c>
      <c r="M87">
        <f t="shared" si="4"/>
        <v>2.5315500000000001E-2</v>
      </c>
      <c r="N87">
        <f t="shared" si="5"/>
        <v>0.10668449999999997</v>
      </c>
    </row>
    <row r="88" spans="1:14" x14ac:dyDescent="0.3">
      <c r="A88" s="32" t="s">
        <v>64</v>
      </c>
      <c r="B88" s="32" t="s">
        <v>15</v>
      </c>
      <c r="C88" s="33">
        <v>41459</v>
      </c>
      <c r="D88" s="35" t="s">
        <v>61</v>
      </c>
      <c r="E88" s="36">
        <v>3</v>
      </c>
      <c r="F88" s="35" t="s">
        <v>81</v>
      </c>
      <c r="G88" s="35" t="s">
        <v>44</v>
      </c>
      <c r="H88" s="35">
        <v>3</v>
      </c>
      <c r="I88" s="35">
        <v>0.27600000000000002</v>
      </c>
      <c r="J88" s="35">
        <v>2</v>
      </c>
      <c r="K88" s="35">
        <v>0.222</v>
      </c>
      <c r="L88" s="35">
        <v>0</v>
      </c>
      <c r="M88">
        <f t="shared" si="4"/>
        <v>1.9963080000000005E-2</v>
      </c>
      <c r="N88">
        <f t="shared" si="5"/>
        <v>3.4036920000000012E-2</v>
      </c>
    </row>
    <row r="89" spans="1:14" x14ac:dyDescent="0.3">
      <c r="A89" s="32" t="s">
        <v>64</v>
      </c>
      <c r="B89" s="32" t="s">
        <v>15</v>
      </c>
      <c r="C89" s="33">
        <v>41459</v>
      </c>
      <c r="D89" s="35" t="s">
        <v>61</v>
      </c>
      <c r="E89" s="36">
        <v>4</v>
      </c>
      <c r="F89" s="35" t="s">
        <v>79</v>
      </c>
      <c r="G89" s="35" t="s">
        <v>41</v>
      </c>
      <c r="H89" s="35">
        <v>2</v>
      </c>
      <c r="I89" s="35">
        <v>0.248</v>
      </c>
      <c r="J89" s="35">
        <v>0</v>
      </c>
      <c r="K89" s="35">
        <v>0.20799999999999999</v>
      </c>
      <c r="L89" s="35">
        <v>2</v>
      </c>
      <c r="M89">
        <f t="shared" si="4"/>
        <v>1.793784E-2</v>
      </c>
      <c r="N89">
        <f t="shared" si="5"/>
        <v>2.2062160000000008E-2</v>
      </c>
    </row>
    <row r="90" spans="1:14" x14ac:dyDescent="0.3">
      <c r="A90" s="32" t="s">
        <v>65</v>
      </c>
      <c r="B90" s="32" t="s">
        <v>15</v>
      </c>
      <c r="C90" s="33">
        <v>41459</v>
      </c>
      <c r="D90" s="35" t="s">
        <v>61</v>
      </c>
      <c r="E90" s="36">
        <v>1</v>
      </c>
      <c r="F90" s="35" t="s">
        <v>76</v>
      </c>
      <c r="G90" s="35" t="s">
        <v>44</v>
      </c>
      <c r="H90" s="35">
        <v>3</v>
      </c>
      <c r="I90" s="35">
        <v>0.34599999999999997</v>
      </c>
      <c r="J90" s="35">
        <v>3</v>
      </c>
      <c r="K90" s="35">
        <v>0.29499999999999998</v>
      </c>
      <c r="L90" s="35">
        <v>0</v>
      </c>
      <c r="M90">
        <f t="shared" si="4"/>
        <v>2.5026179999999999E-2</v>
      </c>
      <c r="N90">
        <f t="shared" si="5"/>
        <v>2.5973819999999991E-2</v>
      </c>
    </row>
    <row r="91" spans="1:14" x14ac:dyDescent="0.3">
      <c r="A91" s="32" t="s">
        <v>65</v>
      </c>
      <c r="B91" s="32" t="s">
        <v>15</v>
      </c>
      <c r="C91" s="33">
        <v>41459</v>
      </c>
      <c r="D91" s="35" t="s">
        <v>61</v>
      </c>
      <c r="E91" s="36">
        <v>2</v>
      </c>
      <c r="F91" s="35" t="s">
        <v>79</v>
      </c>
      <c r="G91" s="35" t="s">
        <v>41</v>
      </c>
      <c r="H91" s="35">
        <v>3</v>
      </c>
      <c r="I91" s="35">
        <v>0.28799999999999998</v>
      </c>
      <c r="J91" s="35">
        <v>2</v>
      </c>
      <c r="K91" s="35">
        <v>0.23300000000000001</v>
      </c>
      <c r="L91" s="35">
        <v>1</v>
      </c>
      <c r="M91">
        <f t="shared" si="4"/>
        <v>2.0831039999999999E-2</v>
      </c>
      <c r="N91">
        <f t="shared" si="5"/>
        <v>3.416895999999997E-2</v>
      </c>
    </row>
    <row r="92" spans="1:14" x14ac:dyDescent="0.3">
      <c r="A92" s="32" t="s">
        <v>65</v>
      </c>
      <c r="B92" s="32" t="s">
        <v>15</v>
      </c>
      <c r="C92" s="33">
        <v>41459</v>
      </c>
      <c r="D92" s="35" t="s">
        <v>61</v>
      </c>
      <c r="E92" s="36">
        <v>3</v>
      </c>
      <c r="F92" s="35" t="s">
        <v>77</v>
      </c>
      <c r="G92" s="35" t="s">
        <v>41</v>
      </c>
      <c r="H92" s="35">
        <v>3</v>
      </c>
      <c r="I92" s="35">
        <v>0.36799999999999999</v>
      </c>
      <c r="J92" s="35">
        <v>0</v>
      </c>
      <c r="K92" s="35">
        <v>0.29399999999999998</v>
      </c>
      <c r="L92" s="35">
        <v>0</v>
      </c>
      <c r="M92">
        <f t="shared" si="4"/>
        <v>2.6617440000000003E-2</v>
      </c>
      <c r="N92">
        <f t="shared" si="5"/>
        <v>4.7382560000000004E-2</v>
      </c>
    </row>
    <row r="93" spans="1:14" x14ac:dyDescent="0.3">
      <c r="A93" s="32" t="s">
        <v>65</v>
      </c>
      <c r="B93" s="32" t="s">
        <v>15</v>
      </c>
      <c r="C93" s="33">
        <v>41459</v>
      </c>
      <c r="D93" s="35" t="s">
        <v>61</v>
      </c>
      <c r="E93" s="36">
        <v>4</v>
      </c>
      <c r="F93" s="35" t="s">
        <v>81</v>
      </c>
      <c r="G93" s="35" t="s">
        <v>44</v>
      </c>
      <c r="H93" s="35">
        <v>3</v>
      </c>
      <c r="I93" s="35">
        <v>0.34699999999999998</v>
      </c>
      <c r="J93" s="35">
        <v>0</v>
      </c>
      <c r="K93" s="35">
        <v>0.193</v>
      </c>
      <c r="L93" s="35">
        <v>0</v>
      </c>
      <c r="M93">
        <f t="shared" si="4"/>
        <v>2.5098510000000001E-2</v>
      </c>
      <c r="N93">
        <f t="shared" si="5"/>
        <v>0.12890148999999998</v>
      </c>
    </row>
    <row r="94" spans="1:14" x14ac:dyDescent="0.3">
      <c r="A94" t="s">
        <v>73</v>
      </c>
      <c r="B94" t="s">
        <v>15</v>
      </c>
      <c r="C94" s="9">
        <v>41461</v>
      </c>
      <c r="D94" s="1" t="s">
        <v>1</v>
      </c>
      <c r="E94" s="2">
        <v>1</v>
      </c>
      <c r="F94" s="1" t="s">
        <v>75</v>
      </c>
      <c r="G94" s="1" t="s">
        <v>44</v>
      </c>
      <c r="H94" s="1">
        <v>1</v>
      </c>
      <c r="I94" s="1">
        <v>0.14699999999999999</v>
      </c>
      <c r="J94" s="35">
        <v>0</v>
      </c>
      <c r="K94" s="35">
        <v>5.1999999999999998E-2</v>
      </c>
      <c r="L94" s="35">
        <v>4</v>
      </c>
      <c r="M94">
        <f t="shared" si="4"/>
        <v>7.9820999999999994E-4</v>
      </c>
      <c r="N94">
        <f t="shared" si="5"/>
        <v>9.4201790000000007E-2</v>
      </c>
    </row>
    <row r="95" spans="1:14" x14ac:dyDescent="0.3">
      <c r="A95" t="s">
        <v>73</v>
      </c>
      <c r="B95" t="s">
        <v>15</v>
      </c>
      <c r="C95" s="9">
        <v>41461</v>
      </c>
      <c r="D95" s="1" t="s">
        <v>1</v>
      </c>
      <c r="E95" s="2">
        <v>2</v>
      </c>
      <c r="F95" s="1" t="s">
        <v>81</v>
      </c>
      <c r="G95" s="1" t="s">
        <v>44</v>
      </c>
      <c r="H95" s="1">
        <v>2</v>
      </c>
      <c r="I95" s="1">
        <v>0.152</v>
      </c>
      <c r="J95" s="35">
        <v>2</v>
      </c>
      <c r="K95" s="35">
        <v>0.161</v>
      </c>
      <c r="L95" s="35">
        <v>0</v>
      </c>
      <c r="M95">
        <f t="shared" si="4"/>
        <v>8.2535999999999992E-4</v>
      </c>
      <c r="N95">
        <f t="shared" si="5"/>
        <v>-9.8253600000000087E-3</v>
      </c>
    </row>
    <row r="96" spans="1:14" x14ac:dyDescent="0.3">
      <c r="A96" t="s">
        <v>73</v>
      </c>
      <c r="B96" t="s">
        <v>15</v>
      </c>
      <c r="C96" s="9">
        <v>41461</v>
      </c>
      <c r="D96" s="1" t="s">
        <v>1</v>
      </c>
      <c r="E96" s="2">
        <v>3</v>
      </c>
      <c r="F96" s="1" t="s">
        <v>79</v>
      </c>
      <c r="G96" s="1" t="s">
        <v>41</v>
      </c>
      <c r="H96" s="1">
        <v>3</v>
      </c>
      <c r="I96" s="1">
        <v>0.32</v>
      </c>
      <c r="J96" s="35">
        <v>3</v>
      </c>
      <c r="K96" s="35">
        <v>0.34100000000000003</v>
      </c>
      <c r="L96" s="35">
        <v>0</v>
      </c>
      <c r="M96">
        <f t="shared" si="4"/>
        <v>1.7376E-3</v>
      </c>
      <c r="N96">
        <f t="shared" si="5"/>
        <v>-2.2737600000000018E-2</v>
      </c>
    </row>
    <row r="97" spans="1:14" x14ac:dyDescent="0.3">
      <c r="A97" t="s">
        <v>73</v>
      </c>
      <c r="B97" t="s">
        <v>15</v>
      </c>
      <c r="C97" s="9">
        <v>41461</v>
      </c>
      <c r="D97" s="1" t="s">
        <v>1</v>
      </c>
      <c r="E97" s="2">
        <v>4</v>
      </c>
      <c r="F97" s="1" t="s">
        <v>80</v>
      </c>
      <c r="G97" s="1" t="s">
        <v>41</v>
      </c>
      <c r="H97" s="1">
        <v>1</v>
      </c>
      <c r="I97" s="1">
        <v>0.183</v>
      </c>
      <c r="J97" s="1">
        <v>1</v>
      </c>
      <c r="K97" s="1">
        <v>0.19500000000000001</v>
      </c>
      <c r="L97" s="1">
        <v>0</v>
      </c>
      <c r="M97">
        <f t="shared" si="4"/>
        <v>9.9368999999999998E-4</v>
      </c>
      <c r="N97">
        <f t="shared" si="5"/>
        <v>-1.2993690000000011E-2</v>
      </c>
    </row>
    <row r="98" spans="1:14" x14ac:dyDescent="0.3">
      <c r="A98" t="s">
        <v>73</v>
      </c>
      <c r="B98" t="s">
        <v>15</v>
      </c>
      <c r="C98" s="9">
        <v>41463</v>
      </c>
      <c r="D98" s="1" t="s">
        <v>61</v>
      </c>
      <c r="E98" s="2">
        <v>1</v>
      </c>
      <c r="F98" s="1" t="s">
        <v>80</v>
      </c>
      <c r="G98" s="1" t="s">
        <v>41</v>
      </c>
      <c r="H98" s="1">
        <v>3</v>
      </c>
      <c r="I98" s="1">
        <v>0.17899999999999999</v>
      </c>
      <c r="J98" s="1">
        <v>1</v>
      </c>
      <c r="K98" s="1">
        <v>0.12</v>
      </c>
      <c r="L98" s="1">
        <v>2</v>
      </c>
      <c r="M98">
        <f t="shared" ref="M98:M113" si="6">IF(D98="Salix arctica",I98*0.00543,I98*0.07233)</f>
        <v>1.294707E-2</v>
      </c>
      <c r="N98">
        <f t="shared" ref="N98:N129" si="7">I98-K98-M98</f>
        <v>4.6052929999999999E-2</v>
      </c>
    </row>
    <row r="99" spans="1:14" x14ac:dyDescent="0.3">
      <c r="A99" t="s">
        <v>73</v>
      </c>
      <c r="B99" t="s">
        <v>15</v>
      </c>
      <c r="C99" s="9">
        <v>41463</v>
      </c>
      <c r="D99" s="1" t="s">
        <v>61</v>
      </c>
      <c r="E99" s="2">
        <v>2</v>
      </c>
      <c r="F99" s="1" t="s">
        <v>76</v>
      </c>
      <c r="G99" s="1" t="s">
        <v>44</v>
      </c>
      <c r="H99" s="1">
        <v>3</v>
      </c>
      <c r="I99" s="1">
        <v>0.249</v>
      </c>
      <c r="J99" s="1">
        <v>2</v>
      </c>
      <c r="K99" s="1">
        <v>0.17799999999999999</v>
      </c>
      <c r="L99" s="1">
        <v>2</v>
      </c>
      <c r="M99">
        <f t="shared" si="6"/>
        <v>1.8010170000000002E-2</v>
      </c>
      <c r="N99">
        <f t="shared" si="7"/>
        <v>5.2989830000000002E-2</v>
      </c>
    </row>
    <row r="100" spans="1:14" x14ac:dyDescent="0.3">
      <c r="A100" t="s">
        <v>73</v>
      </c>
      <c r="B100" t="s">
        <v>15</v>
      </c>
      <c r="C100" s="9">
        <v>41463</v>
      </c>
      <c r="D100" s="1" t="s">
        <v>61</v>
      </c>
      <c r="E100" s="2">
        <v>3</v>
      </c>
      <c r="F100" s="1" t="s">
        <v>77</v>
      </c>
      <c r="G100" s="1" t="s">
        <v>41</v>
      </c>
      <c r="H100" s="1">
        <v>3</v>
      </c>
      <c r="I100" s="1">
        <v>0.156</v>
      </c>
      <c r="J100" s="1">
        <v>3</v>
      </c>
      <c r="K100" s="1">
        <v>0.16200000000000001</v>
      </c>
      <c r="L100" s="1">
        <v>0</v>
      </c>
      <c r="M100">
        <f t="shared" si="6"/>
        <v>1.128348E-2</v>
      </c>
      <c r="N100">
        <f t="shared" si="7"/>
        <v>-1.7283480000000004E-2</v>
      </c>
    </row>
    <row r="101" spans="1:14" x14ac:dyDescent="0.3">
      <c r="A101" t="s">
        <v>73</v>
      </c>
      <c r="B101" t="s">
        <v>15</v>
      </c>
      <c r="C101" s="9">
        <v>41463</v>
      </c>
      <c r="D101" s="1" t="s">
        <v>61</v>
      </c>
      <c r="E101" s="2">
        <v>4</v>
      </c>
      <c r="F101" s="1" t="s">
        <v>75</v>
      </c>
      <c r="G101" s="1" t="s">
        <v>44</v>
      </c>
      <c r="H101" s="1">
        <v>3</v>
      </c>
      <c r="I101" s="1">
        <v>0.189</v>
      </c>
      <c r="J101" s="1">
        <v>3</v>
      </c>
      <c r="K101" s="1">
        <v>0.19800000000000001</v>
      </c>
      <c r="L101" s="1">
        <v>0</v>
      </c>
      <c r="M101">
        <f t="shared" si="6"/>
        <v>1.3670370000000001E-2</v>
      </c>
      <c r="N101">
        <f t="shared" si="7"/>
        <v>-2.2670370000000009E-2</v>
      </c>
    </row>
    <row r="102" spans="1:14" x14ac:dyDescent="0.3">
      <c r="A102" t="s">
        <v>87</v>
      </c>
      <c r="B102" t="s">
        <v>15</v>
      </c>
      <c r="C102" s="9">
        <v>41464</v>
      </c>
      <c r="D102" s="1" t="s">
        <v>1</v>
      </c>
      <c r="E102" s="2">
        <v>1</v>
      </c>
      <c r="F102" s="1" t="s">
        <v>43</v>
      </c>
      <c r="G102" s="1" t="s">
        <v>41</v>
      </c>
      <c r="H102" s="1">
        <v>4</v>
      </c>
      <c r="I102" s="1">
        <v>0.28100000000000003</v>
      </c>
      <c r="J102" s="1">
        <v>4</v>
      </c>
      <c r="K102" s="1">
        <v>0.29399999999999998</v>
      </c>
      <c r="L102" s="1">
        <v>0</v>
      </c>
      <c r="M102">
        <f t="shared" si="6"/>
        <v>1.5258300000000002E-3</v>
      </c>
      <c r="N102">
        <f t="shared" si="7"/>
        <v>-1.4525829999999957E-2</v>
      </c>
    </row>
    <row r="103" spans="1:14" x14ac:dyDescent="0.3">
      <c r="A103" t="s">
        <v>87</v>
      </c>
      <c r="B103" t="s">
        <v>15</v>
      </c>
      <c r="C103" s="9">
        <v>41464</v>
      </c>
      <c r="D103" s="1" t="s">
        <v>1</v>
      </c>
      <c r="E103" s="2">
        <v>2</v>
      </c>
      <c r="F103" s="1" t="s">
        <v>49</v>
      </c>
      <c r="G103" s="1" t="s">
        <v>41</v>
      </c>
      <c r="H103" s="1">
        <v>2</v>
      </c>
      <c r="I103" s="1">
        <v>0.14099999999999999</v>
      </c>
      <c r="J103" s="1">
        <v>2</v>
      </c>
      <c r="K103" s="1">
        <v>0.14299999999999999</v>
      </c>
      <c r="L103" s="1">
        <v>0</v>
      </c>
      <c r="M103">
        <f t="shared" si="6"/>
        <v>7.6562999999999989E-4</v>
      </c>
      <c r="N103">
        <f t="shared" si="7"/>
        <v>-2.7656300000000016E-3</v>
      </c>
    </row>
    <row r="104" spans="1:14" x14ac:dyDescent="0.3">
      <c r="A104" t="s">
        <v>87</v>
      </c>
      <c r="B104" t="s">
        <v>15</v>
      </c>
      <c r="C104" s="9">
        <v>41464</v>
      </c>
      <c r="D104" s="1" t="s">
        <v>1</v>
      </c>
      <c r="E104" s="2">
        <v>3</v>
      </c>
      <c r="F104" s="1" t="s">
        <v>48</v>
      </c>
      <c r="G104" s="1" t="s">
        <v>44</v>
      </c>
      <c r="H104" s="1">
        <v>3</v>
      </c>
      <c r="I104" s="1">
        <v>0.29599999999999999</v>
      </c>
      <c r="J104" s="1">
        <v>2</v>
      </c>
      <c r="K104" s="1">
        <v>0.215</v>
      </c>
      <c r="L104" s="1">
        <v>3</v>
      </c>
      <c r="M104">
        <f t="shared" si="6"/>
        <v>1.60728E-3</v>
      </c>
      <c r="N104">
        <f t="shared" si="7"/>
        <v>7.9392719999999986E-2</v>
      </c>
    </row>
    <row r="105" spans="1:14" x14ac:dyDescent="0.3">
      <c r="A105" t="s">
        <v>87</v>
      </c>
      <c r="B105" t="s">
        <v>15</v>
      </c>
      <c r="C105" s="9">
        <v>41464</v>
      </c>
      <c r="D105" s="1" t="s">
        <v>1</v>
      </c>
      <c r="E105" s="2">
        <v>4</v>
      </c>
      <c r="F105" s="1" t="s">
        <v>45</v>
      </c>
      <c r="G105" s="1" t="s">
        <v>44</v>
      </c>
      <c r="H105" s="1">
        <v>4</v>
      </c>
      <c r="I105" s="1">
        <v>0.28699999999999998</v>
      </c>
      <c r="J105" s="1">
        <v>4</v>
      </c>
      <c r="K105" s="1">
        <v>0.28299999999999997</v>
      </c>
      <c r="L105" s="1">
        <v>0</v>
      </c>
      <c r="M105">
        <f t="shared" si="6"/>
        <v>1.5584099999999999E-3</v>
      </c>
      <c r="N105">
        <f t="shared" si="7"/>
        <v>2.4415900000000039E-3</v>
      </c>
    </row>
    <row r="106" spans="1:14" x14ac:dyDescent="0.3">
      <c r="A106" s="32" t="s">
        <v>87</v>
      </c>
      <c r="B106" s="32" t="s">
        <v>15</v>
      </c>
      <c r="C106" s="33">
        <v>41467</v>
      </c>
      <c r="D106" s="35" t="s">
        <v>61</v>
      </c>
      <c r="E106" s="36">
        <v>1</v>
      </c>
      <c r="F106" s="35" t="s">
        <v>51</v>
      </c>
      <c r="G106" s="35" t="s">
        <v>44</v>
      </c>
      <c r="H106" s="35">
        <v>3</v>
      </c>
      <c r="I106" s="35">
        <v>0.33600000000000002</v>
      </c>
      <c r="J106" s="35">
        <v>0</v>
      </c>
      <c r="K106" s="35">
        <v>0.108</v>
      </c>
      <c r="L106" s="35">
        <v>3</v>
      </c>
      <c r="M106">
        <f t="shared" si="6"/>
        <v>2.4302880000000002E-2</v>
      </c>
      <c r="N106">
        <f t="shared" si="7"/>
        <v>0.20369712000000004</v>
      </c>
    </row>
    <row r="107" spans="1:14" x14ac:dyDescent="0.3">
      <c r="A107" s="32" t="s">
        <v>87</v>
      </c>
      <c r="B107" s="32" t="s">
        <v>15</v>
      </c>
      <c r="C107" s="33">
        <v>41467</v>
      </c>
      <c r="D107" s="35" t="s">
        <v>61</v>
      </c>
      <c r="E107" s="36">
        <v>2</v>
      </c>
      <c r="F107" s="35" t="s">
        <v>50</v>
      </c>
      <c r="G107" s="35" t="s">
        <v>41</v>
      </c>
      <c r="H107" s="35">
        <v>3</v>
      </c>
      <c r="I107" s="35">
        <v>0.30199999999999999</v>
      </c>
      <c r="J107" s="35">
        <v>1</v>
      </c>
      <c r="K107" s="35">
        <v>0.18</v>
      </c>
      <c r="L107" s="35">
        <v>2</v>
      </c>
      <c r="M107">
        <f t="shared" si="6"/>
        <v>2.1843660000000001E-2</v>
      </c>
      <c r="N107">
        <f t="shared" si="7"/>
        <v>0.10015634</v>
      </c>
    </row>
    <row r="108" spans="1:14" x14ac:dyDescent="0.3">
      <c r="A108" s="32" t="s">
        <v>87</v>
      </c>
      <c r="B108" s="32" t="s">
        <v>15</v>
      </c>
      <c r="C108" s="33">
        <v>41467</v>
      </c>
      <c r="D108" s="35" t="s">
        <v>61</v>
      </c>
      <c r="E108" s="36">
        <v>3</v>
      </c>
      <c r="F108" s="35" t="s">
        <v>49</v>
      </c>
      <c r="G108" s="35" t="s">
        <v>41</v>
      </c>
      <c r="H108" s="35">
        <v>3</v>
      </c>
      <c r="I108" s="35">
        <v>0.23200000000000001</v>
      </c>
      <c r="J108" s="35">
        <v>2</v>
      </c>
      <c r="K108" s="35">
        <v>0.19800000000000001</v>
      </c>
      <c r="L108" s="35">
        <v>1</v>
      </c>
      <c r="M108">
        <f t="shared" si="6"/>
        <v>1.6780560000000003E-2</v>
      </c>
      <c r="N108">
        <f t="shared" si="7"/>
        <v>1.7219439999999999E-2</v>
      </c>
    </row>
    <row r="109" spans="1:14" x14ac:dyDescent="0.3">
      <c r="A109" s="32" t="s">
        <v>87</v>
      </c>
      <c r="B109" s="32" t="s">
        <v>15</v>
      </c>
      <c r="C109" s="33">
        <v>41467</v>
      </c>
      <c r="D109" s="35" t="s">
        <v>61</v>
      </c>
      <c r="E109" s="36">
        <v>4</v>
      </c>
      <c r="F109" s="35" t="s">
        <v>48</v>
      </c>
      <c r="G109" s="35" t="s">
        <v>44</v>
      </c>
      <c r="H109" s="35">
        <v>3</v>
      </c>
      <c r="I109" s="35">
        <v>0.20200000000000001</v>
      </c>
      <c r="J109" s="35">
        <v>3</v>
      </c>
      <c r="K109" s="35">
        <v>0.151</v>
      </c>
      <c r="L109" s="35">
        <v>0</v>
      </c>
      <c r="M109">
        <f t="shared" si="6"/>
        <v>1.4610660000000003E-2</v>
      </c>
      <c r="N109">
        <f t="shared" si="7"/>
        <v>3.6389340000000013E-2</v>
      </c>
    </row>
    <row r="110" spans="1:14" x14ac:dyDescent="0.3">
      <c r="A110" s="32" t="s">
        <v>88</v>
      </c>
      <c r="B110" s="32" t="s">
        <v>15</v>
      </c>
      <c r="C110" s="33">
        <v>41467</v>
      </c>
      <c r="D110" s="35" t="s">
        <v>61</v>
      </c>
      <c r="E110" s="36">
        <v>1</v>
      </c>
      <c r="F110" s="35" t="s">
        <v>45</v>
      </c>
      <c r="G110" s="35" t="s">
        <v>44</v>
      </c>
      <c r="H110" s="35">
        <v>3</v>
      </c>
      <c r="I110" s="35">
        <v>0.215</v>
      </c>
      <c r="J110" s="35">
        <v>3</v>
      </c>
      <c r="K110" s="35">
        <v>0.21299999999999999</v>
      </c>
      <c r="L110" s="35">
        <v>0</v>
      </c>
      <c r="M110">
        <f t="shared" si="6"/>
        <v>1.5550950000000001E-2</v>
      </c>
      <c r="N110">
        <f t="shared" si="7"/>
        <v>-1.3550949999999999E-2</v>
      </c>
    </row>
    <row r="111" spans="1:14" x14ac:dyDescent="0.3">
      <c r="A111" s="32" t="s">
        <v>88</v>
      </c>
      <c r="B111" s="32" t="s">
        <v>15</v>
      </c>
      <c r="C111" s="33">
        <v>41467</v>
      </c>
      <c r="D111" s="35" t="s">
        <v>61</v>
      </c>
      <c r="E111" s="36">
        <v>2</v>
      </c>
      <c r="F111" s="35" t="s">
        <v>48</v>
      </c>
      <c r="G111" s="35" t="s">
        <v>44</v>
      </c>
      <c r="H111" s="35">
        <v>2</v>
      </c>
      <c r="I111" s="35">
        <v>0.35299999999999998</v>
      </c>
      <c r="J111" s="35">
        <v>2</v>
      </c>
      <c r="K111" s="35">
        <v>0.313</v>
      </c>
      <c r="L111" s="35">
        <v>0</v>
      </c>
      <c r="M111">
        <f t="shared" si="6"/>
        <v>2.5532490000000001E-2</v>
      </c>
      <c r="N111">
        <f t="shared" si="7"/>
        <v>1.4467509999999979E-2</v>
      </c>
    </row>
    <row r="112" spans="1:14" x14ac:dyDescent="0.3">
      <c r="A112" s="32" t="s">
        <v>88</v>
      </c>
      <c r="B112" s="32" t="s">
        <v>15</v>
      </c>
      <c r="C112" s="33">
        <v>41467</v>
      </c>
      <c r="D112" s="35" t="s">
        <v>61</v>
      </c>
      <c r="E112" s="36">
        <v>3</v>
      </c>
      <c r="F112" s="35" t="s">
        <v>43</v>
      </c>
      <c r="G112" s="35" t="s">
        <v>41</v>
      </c>
      <c r="H112" s="35">
        <v>3</v>
      </c>
      <c r="I112" s="35">
        <v>0.23300000000000001</v>
      </c>
      <c r="J112" s="35">
        <v>2</v>
      </c>
      <c r="K112" s="35">
        <v>0.154</v>
      </c>
      <c r="L112" s="35">
        <v>1</v>
      </c>
      <c r="M112">
        <f t="shared" si="6"/>
        <v>1.6852890000000002E-2</v>
      </c>
      <c r="N112">
        <f t="shared" si="7"/>
        <v>6.2147110000000012E-2</v>
      </c>
    </row>
    <row r="113" spans="1:14" x14ac:dyDescent="0.3">
      <c r="A113" s="32" t="s">
        <v>88</v>
      </c>
      <c r="B113" s="32" t="s">
        <v>15</v>
      </c>
      <c r="C113" s="33">
        <v>41467</v>
      </c>
      <c r="D113" s="35" t="s">
        <v>61</v>
      </c>
      <c r="E113" s="36">
        <v>4</v>
      </c>
      <c r="F113" s="35" t="s">
        <v>49</v>
      </c>
      <c r="G113" s="35" t="s">
        <v>41</v>
      </c>
      <c r="H113" s="35">
        <v>3</v>
      </c>
      <c r="I113" s="35">
        <v>0.151</v>
      </c>
      <c r="J113" s="35">
        <v>3</v>
      </c>
      <c r="K113" s="35">
        <v>0.153</v>
      </c>
      <c r="L113" s="35">
        <v>0</v>
      </c>
      <c r="M113">
        <f t="shared" si="6"/>
        <v>1.092183E-2</v>
      </c>
      <c r="N113">
        <f t="shared" si="7"/>
        <v>-1.2921830000000002E-2</v>
      </c>
    </row>
  </sheetData>
  <sortState xmlns:xlrd2="http://schemas.microsoft.com/office/spreadsheetml/2017/richdata2" ref="A2:N113">
    <sortCondition ref="A2:A113"/>
    <sortCondition ref="C2:C113"/>
    <sortCondition ref="E2:E113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cafeterias</vt:lpstr>
      <vt:lpstr>dehydration trials</vt:lpstr>
      <vt:lpstr>notes</vt:lpstr>
      <vt:lpstr>Sheet1</vt:lpstr>
      <vt:lpstr>cafeterias_caterpillars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Pika</dc:creator>
  <cp:lastModifiedBy>Isabel C Barrio - LBHI</cp:lastModifiedBy>
  <dcterms:created xsi:type="dcterms:W3CDTF">2013-06-23T18:08:43Z</dcterms:created>
  <dcterms:modified xsi:type="dcterms:W3CDTF">2023-01-19T04:19:42Z</dcterms:modified>
</cp:coreProperties>
</file>